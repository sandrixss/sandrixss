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bs" sheetId="1" r:id="rId1"/>
    <sheet name="Dati" sheetId="2" r:id="rId2"/>
    <sheet name="Metode" sheetId="3" r:id="rId3"/>
    <sheet name="Mezgls_1" sheetId="4" r:id="rId4"/>
    <sheet name="Mezgls_2" sheetId="5" r:id="rId5"/>
    <sheet name="Mezgls_3" sheetId="6" r:id="rId6"/>
    <sheet name="Mezgls_4" sheetId="7" r:id="rId7"/>
    <sheet name="Iterācijas" sheetId="8" r:id="rId8"/>
    <sheet name="Koks" sheetId="9" r:id="rId9"/>
    <sheet name="Likumi" sheetId="10" r:id="rId10"/>
    <sheet name="Pārbaude" sheetId="11" r:id="rId11"/>
    <sheet name="Secinājumi" sheetId="12" r:id="rId12"/>
  </sheets>
  <definedNames>
    <definedName name="_xlnm.Print_Area" localSheetId="0">Darbs!$A$1:$B$11</definedName>
    <definedName name="_xlnm.Print_Area" localSheetId="1">Dati!$A$1:$G$20</definedName>
    <definedName name="_xlnm.Print_Area" localSheetId="7">Iterācijas!$A$1:$I$5</definedName>
    <definedName name="_xlnm.Print_Area" localSheetId="8">Koks!$A$1:$J$25</definedName>
    <definedName name="_xlnm.Print_Area" localSheetId="9">Likumi!$A$1:$F$9</definedName>
    <definedName name="_xlnm.Print_Area" localSheetId="2">Metode!$A$1:$B$9</definedName>
    <definedName name="_xlnm.Print_Area" localSheetId="3">Mezgls_1!$A$1:$I$78</definedName>
    <definedName name="_xlnm.Print_Area" localSheetId="4">Mezgls_2!$A$1:$I$60</definedName>
    <definedName name="_xlnm.Print_Area" localSheetId="5">Mezgls_3!$A$1:$I$57</definedName>
    <definedName name="_xlnm.Print_Area" localSheetId="6">Mezgls_4!$A$1:$I$42</definedName>
    <definedName name="_xlnm.Print_Area" localSheetId="10">Pārbaude!$A$1:$E$23</definedName>
    <definedName name="_xlnm.Print_Area" localSheetId="11">Secinājumi!$A$1:$B$7</definedName>
  </definedNames>
  <calcPr calcId="124519" fullCalcOnLoad="1"/>
</workbook>
</file>

<file path=xl/sharedStrings.xml><?xml version="1.0" encoding="utf-8"?>
<sst xmlns="http://schemas.openxmlformats.org/spreadsheetml/2006/main" count="711" uniqueCount="158">
  <si>
    <t>Lauks</t>
  </si>
  <si>
    <t>Apraksts</t>
  </si>
  <si>
    <t>Virsraksts</t>
  </si>
  <si>
    <t>Chi-square: lēmumu koks iPhone pirkuma prognozei</t>
  </si>
  <si>
    <t>Autori</t>
  </si>
  <si>
    <t>Sandris Borkovskis; Dmitrijs Dunajs</t>
  </si>
  <si>
    <t>Mērķis</t>
  </si>
  <si>
    <t>Izvēlēties sašķelšanu ar lielāko χ², izveidot koku un pierakstīt katras gala lapas JA–TAD likumu.</t>
  </si>
  <si>
    <t>Uzdevuma īss apraksts</t>
  </si>
  <si>
    <t>15 klientu ieraksti. Pazīmes: dzimums, vecums, dzīvojamā platība, bērnu skaits un ienākumi. Mērķis: Nopirks Iphone (0 — nepirks; 1 — nopirks). ID izmanto tikai ierakstu atrašanai.</t>
  </si>
  <si>
    <t>Datu saglabāšana</t>
  </si>
  <si>
    <t>Lapā Dati ir visi 15 sākotnējie ieraksti sākotnējā secībā. Tukšā pirmā virsraksta vietā lietots ID; pārējie virsraksti un visas datu vērtības saglabātas.</t>
  </si>
  <si>
    <t>Svarīga izvēle</t>
  </si>
  <si>
    <t>Vienādām maksimālām χ² vērtībām izvēlamies pazīmi ar mazāk kategorijām šajā mezglā. Ja arī to skaits sakrīt, izvēlamies agrāko kolonnu. Tas ir šajā darbā pieņemts palīgnoteikums, nevis prezentācijas norāde.</t>
  </si>
  <si>
    <t>Kā lasīt aprēķinus</t>
  </si>
  <si>
    <t>Iterācijas apkopo četrus izvēles soļus. Mezgls_1…4 satur konkrētā mezgla datus, visu atlikušo pazīmju χ² un atsevišķi O, E, (O−E)²/E. Zaļās šūnas apzīmē izvēlēto pazīmi.</t>
  </si>
  <si>
    <t>Rezultāts</t>
  </si>
  <si>
    <t>4 iekšējie mezgli, 8 gala lapas un 8 likumi. Visas 15 dotās rindas koks klasificē pareizi. Šī ir apmācības datu pārbaude.</t>
  </si>
  <si>
    <t>Avoti</t>
  </si>
  <si>
    <t>studentiem_3LD1_2026 (2).xlsx, lapa studentiem_dati; splitting_krit2_GR_29sept2025.pdf, 4. lpp. biežumu piemērs un 6. lpp. χ² formula.</t>
  </si>
  <si>
    <t>Faila lietošana</t>
  </si>
  <si>
    <t>Visos aprēķinos ir Excel formulas un saglabātas to vērtības. Ja maina datus, nepieciešams no jauna veidot arī mezglu sastāvu un koku; šī grāmata dokumentē konkrētos 15 ierakstus.</t>
  </si>
  <si>
    <t>ID</t>
  </si>
  <si>
    <t>Dzimums</t>
  </si>
  <si>
    <t>Vecums</t>
  </si>
  <si>
    <t>Dzīvojamā platība</t>
  </si>
  <si>
    <t>Bērni</t>
  </si>
  <si>
    <t>Ienākumi</t>
  </si>
  <si>
    <t>Nopirks Iphone</t>
  </si>
  <si>
    <t>v</t>
  </si>
  <si>
    <t>īrē</t>
  </si>
  <si>
    <t>īpašnieks</t>
  </si>
  <si>
    <t>s</t>
  </si>
  <si>
    <t>v / s</t>
  </si>
  <si>
    <t>vīrietis / sieviete</t>
  </si>
  <si>
    <t>0 / 1</t>
  </si>
  <si>
    <t>nepirks / nopirks</t>
  </si>
  <si>
    <t>O: novērotais biežums</t>
  </si>
  <si>
    <t>Katram pazīmes lielumam saskaita atsevišķi klasi 0 un klasi 1. Tā iegūst O₀ un O₁; nᵢ = O₀ + O₁.</t>
  </si>
  <si>
    <t>E: sagaidāmais biežums</t>
  </si>
  <si>
    <t>Eᵢⱼ = nᵢ × nⱼ / N. nᵢ ir attiecīgās pazīmes vērtības ierakstu skaits, nⱼ — klases skaits mezglā, N — visi mezgla ieraksti. Katram jaunam mezglam izmanto tā paša mezgla skaitļus.</t>
  </si>
  <si>
    <t>Sašķelšanas kritērijs</t>
  </si>
  <si>
    <t>χ² = Σᵢ Σⱼ (Oᵢⱼ − Eᵢⱼ)² / Eᵢⱼ. Jo lielāka vērtība, jo vairāk konkrētā biežumu tabula atšķiras no neatkarīgu pazīmes un klases sadalījuma.</t>
  </si>
  <si>
    <t>Izvēles secība</t>
  </si>
  <si>
    <t>1) Lielākais χ². 2) Vienāda maksimuma gadījumā — mazāk atšķirīgu pazīmes vērtību mezglā, lai veidotu mazāk zarus. 3) Ja abi rādītāji sakrīt — sākotnējā kolonnu secība. 2. un 3. solis ir mūsu palīgnoteikums.</t>
  </si>
  <si>
    <t>Skaitliskās pazīmes</t>
  </si>
  <si>
    <t>Vecumu, bērnu skaitu un ienākumus šajā darbā izmanto kā atsevišķas kategorijas, tāpat kā prezentācijas piemēru. Skaitliskus sliekšņus neveido.</t>
  </si>
  <si>
    <t>Turpināšana</t>
  </si>
  <si>
    <t>Iegūtajām grupām atkārto izvēli starp ceļā vēl neizmantotajām pazīmēm. Tīru grupu (viena klase) tālāk nedala. Šeit visas gala lapas ir tīras.</t>
  </si>
  <si>
    <t>Ko nozīmē χ² šeit</t>
  </si>
  <si>
    <t>Izmantojam prezentācijas sašķelšanas rādītāju bez Yates korekcijas. Neizvēlamies nozīmības slieksni un neapgalvojam, ka tik mazs datu kopums pierāda statistisku saistību populācijā.</t>
  </si>
  <si>
    <t>Vienādības pārbaude</t>
  </si>
  <si>
    <t>Koka veidošanā vienādību pārbauda ar precīzām daļām (Python Fraction). Excel rāda tās pašas vērtības ar sešām zīmēm aiz komata; noapaļojums izvēli nenosaka.</t>
  </si>
  <si>
    <t>Mezgls M1</t>
  </si>
  <si>
    <t>Iterācija 1</t>
  </si>
  <si>
    <t>Nosacījums</t>
  </si>
  <si>
    <t>Visi 15 ieraksti</t>
  </si>
  <si>
    <t>Izvēlētā pazīme</t>
  </si>
  <si>
    <t>N: visi ieraksti</t>
  </si>
  <si>
    <t>n₀: klase 0</t>
  </si>
  <si>
    <t>n₁: klase 1</t>
  </si>
  <si>
    <t>Mezgla dati</t>
  </si>
  <si>
    <t>Pazīme</t>
  </si>
  <si>
    <t>χ²</t>
  </si>
  <si>
    <t>Kategoriju skaits</t>
  </si>
  <si>
    <t>Izvēle</t>
  </si>
  <si>
    <t>Izvēlēts</t>
  </si>
  <si>
    <t>Vērtība</t>
  </si>
  <si>
    <t>O₀</t>
  </si>
  <si>
    <t>O₁</t>
  </si>
  <si>
    <t>nᵢ</t>
  </si>
  <si>
    <t>E₀</t>
  </si>
  <si>
    <t>E₁</t>
  </si>
  <si>
    <t>(O₀−E₀)²/E₀</t>
  </si>
  <si>
    <t>(O₁−E₁)²/E₁</t>
  </si>
  <si>
    <t>Rindas χ²</t>
  </si>
  <si>
    <t>χ² kopā</t>
  </si>
  <si>
    <t>Jā</t>
  </si>
  <si>
    <t>Salīdzināts</t>
  </si>
  <si>
    <t>—</t>
  </si>
  <si>
    <t>Mezgls M2</t>
  </si>
  <si>
    <t>Iterācija 2</t>
  </si>
  <si>
    <t>Dzimums = s</t>
  </si>
  <si>
    <t>Mezgls M3</t>
  </si>
  <si>
    <t>Iterācija 3</t>
  </si>
  <si>
    <t>Dzimums = v</t>
  </si>
  <si>
    <t>Mezgls M4</t>
  </si>
  <si>
    <t>Iterācija 4</t>
  </si>
  <si>
    <t>Dzimums = v UN Dzīvojamā platība = īpašnieks</t>
  </si>
  <si>
    <t>Mezgls</t>
  </si>
  <si>
    <t>N</t>
  </si>
  <si>
    <t>Klase 0</t>
  </si>
  <si>
    <t>Klase 1</t>
  </si>
  <si>
    <t>Kategorijas</t>
  </si>
  <si>
    <t>Izvēles pamatojums</t>
  </si>
  <si>
    <t>M1</t>
  </si>
  <si>
    <t>Dzimumam ir lielākais χ² = 8,040497. Sievietēm klase 1 ir 6/7, vīriešiem — 1/8.</t>
  </si>
  <si>
    <t>M2</t>
  </si>
  <si>
    <t>Vecumam χ² = 7 ir vienīgais maksimums. Dzīvojamajai platībai, bērnu skaitam un ienākumiem χ² = 14/9.</t>
  </si>
  <si>
    <t>M3</t>
  </si>
  <si>
    <t>Četrām pazīmēm χ² = 40/21. Dzīvojamajai platībai ir 2 vērtības, pārējām — 3; izvēlamies divus zarus.</t>
  </si>
  <si>
    <t>M4</t>
  </si>
  <si>
    <t>Vecumam un bērnu skaitam χ² = 3. Vecumam ir 2 vērtības, bērnu skaitam — 3; ienākumiem χ² = 0,75.</t>
  </si>
  <si>
    <t>Koks</t>
  </si>
  <si>
    <t>4 mezgli; 8 likumi</t>
  </si>
  <si>
    <t>v = vīrietis; s = sieviete</t>
  </si>
  <si>
    <t>Klase</t>
  </si>
  <si>
    <t>0 = nepirks; 1 = nopirks</t>
  </si>
  <si>
    <t>Likums</t>
  </si>
  <si>
    <t>JA</t>
  </si>
  <si>
    <t>TAD: klase</t>
  </si>
  <si>
    <t>Ierakstu ID</t>
  </si>
  <si>
    <t>R1</t>
  </si>
  <si>
    <t>Dzimums = s UN Vecums = 25</t>
  </si>
  <si>
    <t>nepirks iPhone</t>
  </si>
  <si>
    <t>11</t>
  </si>
  <si>
    <t>R2</t>
  </si>
  <si>
    <t>Dzimums = s UN Vecums = 29</t>
  </si>
  <si>
    <t>nopirks iPhone</t>
  </si>
  <si>
    <t>4</t>
  </si>
  <si>
    <t>R3</t>
  </si>
  <si>
    <t>Dzimums = s UN Vecums = 35</t>
  </si>
  <si>
    <t>15</t>
  </si>
  <si>
    <t>R4</t>
  </si>
  <si>
    <t>Dzimums = s UN Vecums = 40</t>
  </si>
  <si>
    <t>7, 14</t>
  </si>
  <si>
    <t>R5</t>
  </si>
  <si>
    <t>Dzimums = s UN Vecums = 48</t>
  </si>
  <si>
    <t>3, 10</t>
  </si>
  <si>
    <t>R6</t>
  </si>
  <si>
    <t>Dzimums = v UN Dzīvojamā platība = īpašnieks UN Vecums = 35</t>
  </si>
  <si>
    <t>2, 9</t>
  </si>
  <si>
    <t>R7</t>
  </si>
  <si>
    <t>Dzimums = v UN Dzīvojamā platība = īpašnieks UN Vecums = 40</t>
  </si>
  <si>
    <t>13</t>
  </si>
  <si>
    <t>R8</t>
  </si>
  <si>
    <t>Dzimums = v UN Dzīvojamā platība = īrē</t>
  </si>
  <si>
    <t>1, 5, 6, 8, 12</t>
  </si>
  <si>
    <t>Patiesā klase</t>
  </si>
  <si>
    <t>Koka prognoze</t>
  </si>
  <si>
    <t>Pareizi (1/0)</t>
  </si>
  <si>
    <t>Pareizi</t>
  </si>
  <si>
    <t>Kopā</t>
  </si>
  <si>
    <t>Precizitāte</t>
  </si>
  <si>
    <t>Piezīme</t>
  </si>
  <si>
    <t>Tie paši 15 mācību ieraksti; tā nav jaunu klientu pārbaude.</t>
  </si>
  <si>
    <t>Kāpēc saknē dzimums?</t>
  </si>
  <si>
    <t>Sieviešu grupā nopirks 6 no 7 klientiem, vīriešu grupā — 1 no 8. χ² = 8,040497 ir lielāks nekā vecumam (4,486607), dzīvojamajai platībai (0,044643), bērniem (2,678571) un ienākumiem (5,290179).</t>
  </si>
  <si>
    <t>Sieviešu zars</t>
  </si>
  <si>
    <t>25 gadus vecajai sievietei (ID 11) klase ir 0. Vecumiem 29, 35, 40 un 48 šajā grupā ir tikai klase 1. Sašķelšana pēc vecuma uzreiz dod piecas tīras lapas.</t>
  </si>
  <si>
    <t>Vīriešu zars</t>
  </si>
  <si>
    <t>Pieciem vīriešiem, kas īrē mājokli, klase ir 0 (ID 1, 5, 6, 8, 12). Starp īpašniekiem divi 35 gadus vecie klienti nepērk (ID 2, 9), bet 40 gadus vecais pērk (ID 13). Īpašums pats par sevi negarantē pirkumu.</t>
  </si>
  <si>
    <t>Vienādas χ² vērtības</t>
  </si>
  <si>
    <t>Vīriešu grupā četrām atlikušajām pazīmēm χ² = 40/21. Palīgnoteikums izvēlas dzīvojamo platību ar 2 kategorijām. Tāpēc šajā kokā ir 8 likumi; ja vienmēr izvēlētos pirmo kolonnu, rezultāts būtu 9 likumi.</t>
  </si>
  <si>
    <t>Pārbaudes rezultāts</t>
  </si>
  <si>
    <t>4 iekšējie mezgli un 8 gala lapas. Excel pārbaudes formulas dod 15/15 pareizas prognozes jeb 100% uz šīs pašas tabulas. Tīrās lapas izskaidro šo rezultātu.</t>
  </si>
  <si>
    <t>Ko nevar secināt?</t>
  </si>
  <si>
    <t>Ir tikai 15 ieraksti, vairākās lapās — viens klients. Rezultāts nepierāda, ka dzimums vai īpašums izraisa pirkumu. Jaunu klientu precizitāte nav pārbaudīta; nezināmai kategorijai prognozes formula rāda “Ārpus koka”.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</si>
</sst>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73C5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1556F"/>
        <bgColor indexed="64"/>
      </patternFill>
    </fill>
    <fill>
      <patternFill patternType="solid">
        <fgColor rgb="FFE1EAF1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DDEFE5"/>
        <bgColor indexed="64"/>
      </patternFill>
    </fill>
  </fills>
  <borders count="2">
    <border>
      <left/>
      <right/>
      <top/>
      <bottom/>
      <diagonal/>
    </border>
    <border>
      <left style="thin">
        <color rgb="FF657887"/>
      </left>
      <right style="thin">
        <color rgb="FF657887"/>
      </right>
      <top style="thin">
        <color rgb="FF657887"/>
      </top>
      <bottom style="thin">
        <color rgb="FF65788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4">
    <dxf>
      <font>
        <b/>
      </font>
      <fill>
        <patternFill>
          <bgColor rgb="FFE1EAF1"/>
        </patternFill>
      </fill>
      <border>
        <left style="thin">
          <color rgb="FF657887"/>
        </left>
        <right style="thin">
          <color rgb="FF657887"/>
        </right>
        <top style="thin">
          <color rgb="FF657887"/>
        </top>
        <bottom style="thin">
          <color rgb="FF657887"/>
        </bottom>
        <vertical/>
        <horizontal/>
      </border>
    </dxf>
    <dxf>
      <border>
        <left style="thin">
          <color rgb="FF657887"/>
        </left>
        <right style="thin">
          <color rgb="FF657887"/>
        </right>
        <top style="thin">
          <color rgb="FF657887"/>
        </top>
        <bottom style="thin">
          <color rgb="FF657887"/>
        </bottom>
        <vertical/>
        <horizontal/>
      </border>
    </dxf>
    <dxf>
      <border>
        <left style="thin">
          <color rgb="FF657887"/>
        </left>
        <right style="thin">
          <color rgb="FF657887"/>
        </right>
        <top style="thin">
          <color rgb="FF657887"/>
        </top>
        <bottom style="thin">
          <color rgb="FF657887"/>
        </bottom>
        <vertical/>
        <horizontal/>
      </border>
    </dxf>
    <dxf>
      <numFmt numFmtId="164" formatCode="0.000000"/>
      <border>
        <left style="thin">
          <color rgb="FF657887"/>
        </left>
        <right style="thin">
          <color rgb="FF657887"/>
        </right>
        <top style="thin">
          <color rgb="FF657887"/>
        </top>
        <bottom style="thin">
          <color rgb="FF657887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9</xdr:col>
      <xdr:colOff>371475</xdr:colOff>
      <xdr:row>22</xdr:row>
      <xdr:rowOff>15067</xdr:rowOff>
    </xdr:to>
    <xdr:pic>
      <xdr:nvPicPr>
        <xdr:cNvPr id="2" name="Picture 1" descr="lemumu_koks_chi_squa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6950"/>
          <a:ext cx="10668000" cy="51966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Darbs" displayName="TDarbs" ref="A1:B11" totalsRowShown="0">
  <autoFilter ref="A1:B11"/>
  <tableColumns count="2">
    <tableColumn id="1" name="Lauks" dataDxfId="0"/>
    <tableColumn id="2" name="Aprakst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i" displayName="TDati" ref="A1:G16" totalsRowShown="0">
  <autoFilter ref="A1:G16"/>
  <tableColumns count="7">
    <tableColumn id="1" name="ID" dataDxfId="2"/>
    <tableColumn id="2" name="Dzimums" dataDxfId="2"/>
    <tableColumn id="3" name="Vecums" dataDxfId="2"/>
    <tableColumn id="4" name="Dzīvojamā platība" dataDxfId="2"/>
    <tableColumn id="5" name="Bērni" dataDxfId="2"/>
    <tableColumn id="6" name="Ienākumi" dataDxfId="2"/>
    <tableColumn id="7" name="Nopirks Iphon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Metode" displayName="TMetode" ref="A1:B9" totalsRowShown="0">
  <autoFilter ref="A1:B9"/>
  <tableColumns count="2">
    <tableColumn id="1" name="Lauks" dataDxfId="0"/>
    <tableColumn id="2" name="Aprakst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M1Dati" displayName="TM1Dati" ref="A10:G25" totalsRowShown="0">
  <autoFilter ref="A10:G25"/>
  <tableColumns count="7">
    <tableColumn id="1" name="ID" dataDxfId="2"/>
    <tableColumn id="2" name="Dzimums" dataDxfId="2"/>
    <tableColumn id="3" name="Vecums" dataDxfId="2"/>
    <tableColumn id="4" name="Dzīvojamā platība" dataDxfId="2"/>
    <tableColumn id="5" name="Bērni" dataDxfId="2"/>
    <tableColumn id="6" name="Ienākumi" dataDxfId="2"/>
    <tableColumn id="7" name="Nopirks Iphon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M1Salidzinajums" displayName="TM1Salidzinajums" ref="A28:D33" totalsRowShown="0">
  <autoFilter ref="A28:D33"/>
  <tableColumns count="4">
    <tableColumn id="1" name="Pazīme" dataDxfId="1"/>
    <tableColumn id="2" name="χ²" dataDxfId="3"/>
    <tableColumn id="3" name="Kategoriju skaits" dataDxfId="2"/>
    <tableColumn id="4" name="Izvēl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M1A1" displayName="TM1A1" ref="A37:I39" totalsRowShown="0">
  <autoFilter ref="A37:I39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M1A2" displayName="TM1A2" ref="A44:I49" totalsRowShown="0">
  <autoFilter ref="A44:I49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M1A3" displayName="TM1A3" ref="A54:I56" totalsRowShown="0">
  <autoFilter ref="A54:I56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1A4" displayName="TM1A4" ref="A61:I66" totalsRowShown="0">
  <autoFilter ref="A61:I66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M1A5" displayName="TM1A5" ref="A71:I76" totalsRowShown="0">
  <autoFilter ref="A71:I76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M2Dati" displayName="TM2Dati" ref="A10:G17" totalsRowShown="0">
  <autoFilter ref="A10:G17"/>
  <tableColumns count="7">
    <tableColumn id="1" name="ID" dataDxfId="2"/>
    <tableColumn id="2" name="Dzimums" dataDxfId="2"/>
    <tableColumn id="3" name="Vecums" dataDxfId="2"/>
    <tableColumn id="4" name="Dzīvojamā platība" dataDxfId="2"/>
    <tableColumn id="5" name="Bērni" dataDxfId="2"/>
    <tableColumn id="6" name="Ienākumi" dataDxfId="2"/>
    <tableColumn id="7" name="Nopirks Iphone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M2Salidzinajums" displayName="TM2Salidzinajums" ref="A20:D24" totalsRowShown="0">
  <autoFilter ref="A20:D24"/>
  <tableColumns count="4">
    <tableColumn id="1" name="Pazīme" dataDxfId="1"/>
    <tableColumn id="2" name="χ²" dataDxfId="3"/>
    <tableColumn id="3" name="Kategoriju skaits" dataDxfId="2"/>
    <tableColumn id="4" name="Izvēle" dataDxfId="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M2A2" displayName="TM2A2" ref="A28:I33" totalsRowShown="0">
  <autoFilter ref="A28:I33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M2A3" displayName="TM2A3" ref="A38:I40" totalsRowShown="0">
  <autoFilter ref="A38:I40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M2A4" displayName="TM2A4" ref="A45:I49" totalsRowShown="0">
  <autoFilter ref="A45:I49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M2A5" displayName="TM2A5" ref="A54:I58" totalsRowShown="0">
  <autoFilter ref="A54:I58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M3Dati" displayName="TM3Dati" ref="A10:G18" totalsRowShown="0">
  <autoFilter ref="A10:G18"/>
  <tableColumns count="7">
    <tableColumn id="1" name="ID" dataDxfId="2"/>
    <tableColumn id="2" name="Dzimums" dataDxfId="2"/>
    <tableColumn id="3" name="Vecums" dataDxfId="2"/>
    <tableColumn id="4" name="Dzīvojamā platība" dataDxfId="2"/>
    <tableColumn id="5" name="Bērni" dataDxfId="2"/>
    <tableColumn id="6" name="Ienākumi" dataDxfId="2"/>
    <tableColumn id="7" name="Nopirks Iphone" dataDxfId="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M3Salidzinajums" displayName="TM3Salidzinajums" ref="A21:D25" totalsRowShown="0">
  <autoFilter ref="A21:D25"/>
  <tableColumns count="4">
    <tableColumn id="1" name="Pazīme" dataDxfId="1"/>
    <tableColumn id="2" name="χ²" dataDxfId="3"/>
    <tableColumn id="3" name="Kategoriju skaits" dataDxfId="2"/>
    <tableColumn id="4" name="Izvēle" dataDxfId="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M3A2" displayName="TM3A2" ref="A29:I32" totalsRowShown="0">
  <autoFilter ref="A29:I32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M3A3" displayName="TM3A3" ref="A37:I39" totalsRowShown="0">
  <autoFilter ref="A37:I39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M3A4" displayName="TM3A4" ref="A44:I47" totalsRowShown="0">
  <autoFilter ref="A44:I47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M3A5" displayName="TM3A5" ref="A52:I55" totalsRowShown="0">
  <autoFilter ref="A52:I55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M4Dati" displayName="TM4Dati" ref="A10:G13" totalsRowShown="0">
  <autoFilter ref="A10:G13"/>
  <tableColumns count="7">
    <tableColumn id="1" name="ID" dataDxfId="2"/>
    <tableColumn id="2" name="Dzimums" dataDxfId="2"/>
    <tableColumn id="3" name="Vecums" dataDxfId="2"/>
    <tableColumn id="4" name="Dzīvojamā platība" dataDxfId="2"/>
    <tableColumn id="5" name="Bērni" dataDxfId="2"/>
    <tableColumn id="6" name="Ienākumi" dataDxfId="2"/>
    <tableColumn id="7" name="Nopirks Iphone" dataDxfId="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M4Salidzinajums" displayName="TM4Salidzinajums" ref="A16:D19" totalsRowShown="0">
  <autoFilter ref="A16:D19"/>
  <tableColumns count="4">
    <tableColumn id="1" name="Pazīme" dataDxfId="1"/>
    <tableColumn id="2" name="χ²" dataDxfId="3"/>
    <tableColumn id="3" name="Kategoriju skaits" dataDxfId="2"/>
    <tableColumn id="4" name="Izvēle" dataDxfId="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M4A2" displayName="TM4A2" ref="A23:I25" totalsRowShown="0">
  <autoFilter ref="A23:I25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M4A4" displayName="TM4A4" ref="A30:I33" totalsRowShown="0">
  <autoFilter ref="A30:I33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M4A5" displayName="TM4A5" ref="A38:I40" totalsRowShown="0">
  <autoFilter ref="A38:I40"/>
  <tableColumns count="9">
    <tableColumn id="1" name="Vērtība" dataDxfId="2"/>
    <tableColumn id="2" name="O₀" dataDxfId="2"/>
    <tableColumn id="3" name="O₁" dataDxfId="2"/>
    <tableColumn id="4" name="nᵢ" dataDxfId="2"/>
    <tableColumn id="5" name="E₀" dataDxfId="3"/>
    <tableColumn id="6" name="E₁" dataDxfId="3"/>
    <tableColumn id="7" name="(O₀−E₀)²/E₀" dataDxfId="3"/>
    <tableColumn id="8" name="(O₁−E₁)²/E₁" dataDxfId="3"/>
    <tableColumn id="9" name="Rindas χ²" dataDxfId="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Iteracijas" displayName="TIteracijas" ref="A1:I5" totalsRowShown="0">
  <autoFilter ref="A1:I5"/>
  <tableColumns count="9">
    <tableColumn id="1" name="Mezgls" dataDxfId="2"/>
    <tableColumn id="2" name="Nosacījums" dataDxfId="1"/>
    <tableColumn id="3" name="N" dataDxfId="2"/>
    <tableColumn id="4" name="Klase 0" dataDxfId="2"/>
    <tableColumn id="5" name="Klase 1" dataDxfId="2"/>
    <tableColumn id="6" name="Izvēlētā pazīme" dataDxfId="1"/>
    <tableColumn id="7" name="χ²" dataDxfId="3"/>
    <tableColumn id="8" name="Kategorijas" dataDxfId="2"/>
    <tableColumn id="9" name="Izvēles pamatojums" dataDxfId="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Likumi" displayName="TLikumi" ref="A1:F9" totalsRowShown="0">
  <autoFilter ref="A1:F9"/>
  <tableColumns count="6">
    <tableColumn id="1" name="Likums" dataDxfId="2"/>
    <tableColumn id="2" name="JA" dataDxfId="1"/>
    <tableColumn id="3" name="TAD: klase" dataDxfId="2"/>
    <tableColumn id="4" name="Rezultāts" dataDxfId="1"/>
    <tableColumn id="5" name="N" dataDxfId="2"/>
    <tableColumn id="6" name="Ierakstu ID" dataDxfId="1"/>
  </tableColumns>
  <tableStyleInfo name="TableStyleMedium4" showFirstColumn="0" showLastColumn="0" showRowStripes="1" showColumnStripes="0"/>
</table>
</file>

<file path=xl/tables/table30.xml><?xml version="1.0" encoding="utf-8"?>
<table xmlns="http://schemas.openxmlformats.org/spreadsheetml/2006/main" id="30" name="TParbaude" displayName="TParbaude" ref="A1:E16" totalsRowShown="0">
  <autoFilter ref="A1:E16"/>
  <tableColumns count="5">
    <tableColumn id="1" name="ID" dataDxfId="2"/>
    <tableColumn id="2" name="Patiesā klase" dataDxfId="2"/>
    <tableColumn id="3" name="Koka prognoze" dataDxfId="2"/>
    <tableColumn id="4" name="Likums" dataDxfId="2"/>
    <tableColumn id="5" name="Pareizi (1/0)" dataDxfId="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Secinājumi" displayName="TSecinājumi" ref="A1:B7" totalsRowShown="0">
  <autoFilter ref="A1:B7"/>
  <tableColumns count="2">
    <tableColumn id="1" name="Lauks" dataDxfId="0"/>
    <tableColumn id="2" name="Apraks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8.xml"/><Relationship Id="rId3" Type="http://schemas.openxmlformats.org/officeDocument/2006/relationships/table" Target="../tables/table19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Relationship Id="rId2" Type="http://schemas.openxmlformats.org/officeDocument/2006/relationships/table" Target="../tables/table24.xml"/><Relationship Id="rId3" Type="http://schemas.openxmlformats.org/officeDocument/2006/relationships/table" Target="../tables/table25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1" view="normal"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27.7109375" customWidth="1"/>
    <col min="2" max="2" width="91.7109375" customWidth="1"/>
  </cols>
  <sheetData>
    <row r="1" spans="1:2" ht="34" customHeight="1">
      <c r="A1" s="1" t="s">
        <v>0</v>
      </c>
      <c r="B1" s="1" t="s">
        <v>1</v>
      </c>
    </row>
    <row r="2" spans="1:2" ht="38" customHeight="1">
      <c r="A2" s="2" t="s">
        <v>2</v>
      </c>
      <c r="B2" s="3" t="s">
        <v>3</v>
      </c>
    </row>
    <row r="3" spans="1:2" ht="28" customHeight="1">
      <c r="A3" s="2" t="s">
        <v>4</v>
      </c>
      <c r="B3" s="3" t="s">
        <v>5</v>
      </c>
    </row>
    <row r="4" spans="1:2" ht="44" customHeight="1">
      <c r="A4" s="2" t="s">
        <v>6</v>
      </c>
      <c r="B4" s="3" t="s">
        <v>7</v>
      </c>
    </row>
    <row r="5" spans="1:2" ht="66" customHeight="1">
      <c r="A5" s="2" t="s">
        <v>8</v>
      </c>
      <c r="B5" s="3" t="s">
        <v>9</v>
      </c>
    </row>
    <row r="6" spans="1:2" ht="52" customHeight="1">
      <c r="A6" s="2" t="s">
        <v>10</v>
      </c>
      <c r="B6" s="3" t="s">
        <v>11</v>
      </c>
    </row>
    <row r="7" spans="1:2" ht="74" customHeight="1">
      <c r="A7" s="2" t="s">
        <v>12</v>
      </c>
      <c r="B7" s="3" t="s">
        <v>13</v>
      </c>
    </row>
    <row r="8" spans="1:2" ht="66" customHeight="1">
      <c r="A8" s="2" t="s">
        <v>14</v>
      </c>
      <c r="B8" s="3" t="s">
        <v>15</v>
      </c>
    </row>
    <row r="9" spans="1:2" ht="46" customHeight="1">
      <c r="A9" s="2" t="s">
        <v>16</v>
      </c>
      <c r="B9" s="3" t="s">
        <v>17</v>
      </c>
    </row>
    <row r="10" spans="1:2" ht="52" customHeight="1">
      <c r="A10" s="2" t="s">
        <v>18</v>
      </c>
      <c r="B10" s="3" t="s">
        <v>19</v>
      </c>
    </row>
    <row r="11" spans="1:2" ht="66" customHeight="1">
      <c r="A11" s="2" t="s">
        <v>20</v>
      </c>
      <c r="B11" s="3" t="s">
        <v>21</v>
      </c>
    </row>
  </sheetData>
  <printOptions gridLines="1"/>
  <pageMargins left="0.3" right="0.3" top="0.4" bottom="0.4" header="0.3" footer="0.3"/>
  <pageSetup paperSize="9" fitToHeight="0" orientation="portrait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showGridLines="1" view="normal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8.7109375" customWidth="1"/>
    <col min="2" max="2" width="14.7109375" customWidth="1"/>
    <col min="3" max="3" width="12.7109375" customWidth="1"/>
    <col min="4" max="4" width="23.7109375" customWidth="1"/>
    <col min="5" max="5" width="10.7109375" customWidth="1"/>
    <col min="6" max="6" width="16.7109375" customWidth="1"/>
    <col min="7" max="7" width="19.7109375" customWidth="1"/>
  </cols>
  <sheetData>
    <row r="1" spans="1:7" ht="34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24" customHeight="1">
      <c r="A2" s="4">
        <v>1</v>
      </c>
      <c r="B2" s="4" t="s">
        <v>29</v>
      </c>
      <c r="C2" s="4">
        <v>29</v>
      </c>
      <c r="D2" s="4" t="s">
        <v>30</v>
      </c>
      <c r="E2" s="4">
        <v>1</v>
      </c>
      <c r="F2" s="4">
        <v>60100</v>
      </c>
      <c r="G2" s="4">
        <v>0</v>
      </c>
    </row>
    <row r="3" spans="1:7" ht="24" customHeight="1">
      <c r="A3" s="4">
        <v>2</v>
      </c>
      <c r="B3" s="4" t="s">
        <v>29</v>
      </c>
      <c r="C3" s="4">
        <v>35</v>
      </c>
      <c r="D3" s="4" t="s">
        <v>31</v>
      </c>
      <c r="E3" s="4">
        <v>2</v>
      </c>
      <c r="F3" s="4">
        <v>87000</v>
      </c>
      <c r="G3" s="4">
        <v>0</v>
      </c>
    </row>
    <row r="4" spans="1:7" ht="24" customHeight="1">
      <c r="A4" s="4">
        <v>3</v>
      </c>
      <c r="B4" s="4" t="s">
        <v>32</v>
      </c>
      <c r="C4" s="4">
        <v>48</v>
      </c>
      <c r="D4" s="4" t="s">
        <v>30</v>
      </c>
      <c r="E4" s="4">
        <v>3</v>
      </c>
      <c r="F4" s="4">
        <v>65000</v>
      </c>
      <c r="G4" s="4">
        <v>1</v>
      </c>
    </row>
    <row r="5" spans="1:7" ht="24" customHeight="1">
      <c r="A5" s="4">
        <v>4</v>
      </c>
      <c r="B5" s="4" t="s">
        <v>32</v>
      </c>
      <c r="C5" s="4">
        <v>29</v>
      </c>
      <c r="D5" s="4" t="s">
        <v>30</v>
      </c>
      <c r="E5" s="4">
        <v>2</v>
      </c>
      <c r="F5" s="4">
        <v>87000</v>
      </c>
      <c r="G5" s="4">
        <v>1</v>
      </c>
    </row>
    <row r="6" spans="1:7" ht="24" customHeight="1">
      <c r="A6" s="4">
        <v>5</v>
      </c>
      <c r="B6" s="4" t="s">
        <v>29</v>
      </c>
      <c r="C6" s="4">
        <v>40</v>
      </c>
      <c r="D6" s="4" t="s">
        <v>30</v>
      </c>
      <c r="E6" s="4">
        <v>4</v>
      </c>
      <c r="F6" s="4">
        <v>60100</v>
      </c>
      <c r="G6" s="4">
        <v>0</v>
      </c>
    </row>
    <row r="7" spans="1:7" ht="24" customHeight="1">
      <c r="A7" s="4">
        <v>6</v>
      </c>
      <c r="B7" s="4" t="s">
        <v>29</v>
      </c>
      <c r="C7" s="4">
        <v>35</v>
      </c>
      <c r="D7" s="4" t="s">
        <v>30</v>
      </c>
      <c r="E7" s="4">
        <v>1</v>
      </c>
      <c r="F7" s="4">
        <v>80300</v>
      </c>
      <c r="G7" s="4">
        <v>0</v>
      </c>
    </row>
    <row r="8" spans="1:7" ht="24" customHeight="1">
      <c r="A8" s="4">
        <v>7</v>
      </c>
      <c r="B8" s="4" t="s">
        <v>32</v>
      </c>
      <c r="C8" s="4">
        <v>40</v>
      </c>
      <c r="D8" s="4" t="s">
        <v>31</v>
      </c>
      <c r="E8" s="4">
        <v>2</v>
      </c>
      <c r="F8" s="4">
        <v>65000</v>
      </c>
      <c r="G8" s="4">
        <v>1</v>
      </c>
    </row>
    <row r="9" spans="1:7" ht="24" customHeight="1">
      <c r="A9" s="4">
        <v>8</v>
      </c>
      <c r="B9" s="4" t="s">
        <v>29</v>
      </c>
      <c r="C9" s="4">
        <v>40</v>
      </c>
      <c r="D9" s="4" t="s">
        <v>30</v>
      </c>
      <c r="E9" s="4">
        <v>2</v>
      </c>
      <c r="F9" s="4">
        <v>80300</v>
      </c>
      <c r="G9" s="4">
        <v>0</v>
      </c>
    </row>
    <row r="10" spans="1:7" ht="24" customHeight="1">
      <c r="A10" s="4">
        <v>9</v>
      </c>
      <c r="B10" s="4" t="s">
        <v>29</v>
      </c>
      <c r="C10" s="4">
        <v>35</v>
      </c>
      <c r="D10" s="4" t="s">
        <v>31</v>
      </c>
      <c r="E10" s="4">
        <v>1</v>
      </c>
      <c r="F10" s="4">
        <v>60100</v>
      </c>
      <c r="G10" s="4">
        <v>0</v>
      </c>
    </row>
    <row r="11" spans="1:7" ht="24" customHeight="1">
      <c r="A11" s="4">
        <v>10</v>
      </c>
      <c r="B11" s="4" t="s">
        <v>32</v>
      </c>
      <c r="C11" s="4">
        <v>48</v>
      </c>
      <c r="D11" s="4" t="s">
        <v>30</v>
      </c>
      <c r="E11" s="4">
        <v>1</v>
      </c>
      <c r="F11" s="4">
        <v>60100</v>
      </c>
      <c r="G11" s="4">
        <v>1</v>
      </c>
    </row>
    <row r="12" spans="1:7" ht="24" customHeight="1">
      <c r="A12" s="4">
        <v>11</v>
      </c>
      <c r="B12" s="4" t="s">
        <v>32</v>
      </c>
      <c r="C12" s="4">
        <v>25</v>
      </c>
      <c r="D12" s="4" t="s">
        <v>31</v>
      </c>
      <c r="E12" s="4">
        <v>2</v>
      </c>
      <c r="F12" s="4">
        <v>60600</v>
      </c>
      <c r="G12" s="4">
        <v>0</v>
      </c>
    </row>
    <row r="13" spans="1:7" ht="24" customHeight="1">
      <c r="A13" s="4">
        <v>12</v>
      </c>
      <c r="B13" s="4" t="s">
        <v>29</v>
      </c>
      <c r="C13" s="4">
        <v>29</v>
      </c>
      <c r="D13" s="4" t="s">
        <v>30</v>
      </c>
      <c r="E13" s="4">
        <v>4</v>
      </c>
      <c r="F13" s="4">
        <v>87000</v>
      </c>
      <c r="G13" s="4">
        <v>0</v>
      </c>
    </row>
    <row r="14" spans="1:7" ht="24" customHeight="1">
      <c r="A14" s="4">
        <v>13</v>
      </c>
      <c r="B14" s="4" t="s">
        <v>29</v>
      </c>
      <c r="C14" s="4">
        <v>40</v>
      </c>
      <c r="D14" s="4" t="s">
        <v>31</v>
      </c>
      <c r="E14" s="4">
        <v>4</v>
      </c>
      <c r="F14" s="4">
        <v>87000</v>
      </c>
      <c r="G14" s="4">
        <v>1</v>
      </c>
    </row>
    <row r="15" spans="1:7" ht="24" customHeight="1">
      <c r="A15" s="4">
        <v>14</v>
      </c>
      <c r="B15" s="4" t="s">
        <v>32</v>
      </c>
      <c r="C15" s="4">
        <v>40</v>
      </c>
      <c r="D15" s="4" t="s">
        <v>31</v>
      </c>
      <c r="E15" s="4">
        <v>0</v>
      </c>
      <c r="F15" s="4">
        <v>60600</v>
      </c>
      <c r="G15" s="4">
        <v>1</v>
      </c>
    </row>
    <row r="16" spans="1:7" ht="24" customHeight="1">
      <c r="A16" s="4">
        <v>15</v>
      </c>
      <c r="B16" s="4" t="s">
        <v>32</v>
      </c>
      <c r="C16" s="4">
        <v>35</v>
      </c>
      <c r="D16" s="4" t="s">
        <v>30</v>
      </c>
      <c r="E16" s="4">
        <v>1</v>
      </c>
      <c r="F16" s="4">
        <v>60600</v>
      </c>
      <c r="G16" s="4">
        <v>1</v>
      </c>
    </row>
    <row r="19" spans="1:2" ht="36" customHeight="1">
      <c r="A19" s="2" t="s">
        <v>33</v>
      </c>
      <c r="B19" s="3" t="s">
        <v>34</v>
      </c>
    </row>
    <row r="20" spans="1:2" ht="36" customHeight="1">
      <c r="A20" s="2" t="s">
        <v>35</v>
      </c>
      <c r="B20" s="3" t="s">
        <v>36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1" view="normal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27.7109375" customWidth="1"/>
    <col min="2" max="2" width="91.7109375" customWidth="1"/>
  </cols>
  <sheetData>
    <row r="1" spans="1:2" ht="34" customHeight="1">
      <c r="A1" s="1" t="s">
        <v>0</v>
      </c>
      <c r="B1" s="1" t="s">
        <v>1</v>
      </c>
    </row>
    <row r="2" spans="1:2" ht="48" customHeight="1">
      <c r="A2" s="2" t="s">
        <v>37</v>
      </c>
      <c r="B2" s="3" t="s">
        <v>38</v>
      </c>
    </row>
    <row r="3" spans="1:2" ht="68" customHeight="1">
      <c r="A3" s="2" t="s">
        <v>39</v>
      </c>
      <c r="B3" s="3" t="s">
        <v>40</v>
      </c>
    </row>
    <row r="4" spans="1:2" ht="54" customHeight="1">
      <c r="A4" s="2" t="s">
        <v>41</v>
      </c>
      <c r="B4" s="3" t="s">
        <v>42</v>
      </c>
    </row>
    <row r="5" spans="1:2" ht="76" customHeight="1">
      <c r="A5" s="2" t="s">
        <v>43</v>
      </c>
      <c r="B5" s="3" t="s">
        <v>44</v>
      </c>
    </row>
    <row r="6" spans="1:2" ht="54" customHeight="1">
      <c r="A6" s="2" t="s">
        <v>45</v>
      </c>
      <c r="B6" s="3" t="s">
        <v>46</v>
      </c>
    </row>
    <row r="7" spans="1:2" ht="54" customHeight="1">
      <c r="A7" s="2" t="s">
        <v>47</v>
      </c>
      <c r="B7" s="3" t="s">
        <v>48</v>
      </c>
    </row>
    <row r="8" spans="1:2" ht="66" customHeight="1">
      <c r="A8" s="2" t="s">
        <v>49</v>
      </c>
      <c r="B8" s="3" t="s">
        <v>50</v>
      </c>
    </row>
    <row r="9" spans="1:2" ht="56" customHeight="1">
      <c r="A9" s="2" t="s">
        <v>51</v>
      </c>
      <c r="B9" s="3" t="s">
        <v>52</v>
      </c>
    </row>
  </sheetData>
  <printOptions gridLines="1"/>
  <pageMargins left="0.3" right="0.3" top="0.4" bottom="0.4" header="0.3" footer="0.3"/>
  <pageSetup paperSize="9" fitToHeight="0" orientation="portrait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7"/>
  <sheetViews>
    <sheetView showGridLines="1" view="normal" zoomScale="90" zoomScaleNormal="9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24" customHeight="1"/>
  <cols>
    <col min="1" max="1" width="24.7109375" customWidth="1"/>
    <col min="2" max="2" width="18.7109375" customWidth="1"/>
    <col min="3" max="3" width="14.7109375" customWidth="1"/>
    <col min="4" max="4" width="11.7109375" customWidth="1"/>
    <col min="5" max="6" width="15.7109375" customWidth="1"/>
    <col min="7" max="8" width="19.7109375" customWidth="1"/>
    <col min="9" max="9" width="15.7109375" customWidth="1"/>
  </cols>
  <sheetData>
    <row r="1" spans="1:7" ht="24" customHeight="1">
      <c r="A1" s="5" t="s">
        <v>53</v>
      </c>
      <c r="B1" s="5" t="s">
        <v>54</v>
      </c>
    </row>
    <row r="2" spans="1:7" ht="48" customHeight="1">
      <c r="A2" s="2" t="s">
        <v>55</v>
      </c>
      <c r="B2" s="3" t="s">
        <v>56</v>
      </c>
    </row>
    <row r="3" spans="1:7" ht="34" customHeight="1">
      <c r="A3" s="2" t="s">
        <v>57</v>
      </c>
      <c r="B3" s="6" t="s">
        <v>23</v>
      </c>
    </row>
    <row r="5" spans="1:7" ht="24" customHeight="1">
      <c r="A5" s="2" t="s">
        <v>58</v>
      </c>
      <c r="B5" s="4">
        <f>COUNTA($A$11:$A$25)</f>
        <v>15</v>
      </c>
    </row>
    <row r="6" spans="1:7" ht="24" customHeight="1">
      <c r="A6" s="2" t="s">
        <v>59</v>
      </c>
      <c r="B6" s="4">
        <f>COUNTIF($G$11:$G$25,0)</f>
        <v>8</v>
      </c>
    </row>
    <row r="7" spans="1:7" ht="24" customHeight="1">
      <c r="A7" s="2" t="s">
        <v>60</v>
      </c>
      <c r="B7" s="4">
        <f>COUNTIF($G$11:$G$25,1)</f>
        <v>7</v>
      </c>
    </row>
    <row r="9" spans="1:7" ht="24" customHeight="1">
      <c r="A9" s="2" t="s">
        <v>61</v>
      </c>
    </row>
    <row r="10" spans="1:7" ht="34" customHeight="1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</row>
    <row r="11" spans="1:7" ht="24" customHeight="1">
      <c r="A11" s="4">
        <f>'Dati'!A2</f>
        <v>1</v>
      </c>
      <c r="B11" s="4" t="str">
        <f>'Dati'!B2</f>
        <v>v</v>
      </c>
      <c r="C11" s="4">
        <f>'Dati'!C2</f>
        <v>29</v>
      </c>
      <c r="D11" s="4" t="str">
        <f>'Dati'!D2</f>
        <v>īrē</v>
      </c>
      <c r="E11" s="4">
        <f>'Dati'!E2</f>
        <v>1</v>
      </c>
      <c r="F11" s="4">
        <f>'Dati'!F2</f>
        <v>60100</v>
      </c>
      <c r="G11" s="4">
        <f>'Dati'!G2</f>
        <v>0</v>
      </c>
    </row>
    <row r="12" spans="1:7" ht="24" customHeight="1">
      <c r="A12" s="4">
        <f>'Dati'!A3</f>
        <v>2</v>
      </c>
      <c r="B12" s="4" t="str">
        <f>'Dati'!B3</f>
        <v>v</v>
      </c>
      <c r="C12" s="4">
        <f>'Dati'!C3</f>
        <v>35</v>
      </c>
      <c r="D12" s="4" t="str">
        <f>'Dati'!D3</f>
        <v>īpašnieks</v>
      </c>
      <c r="E12" s="4">
        <f>'Dati'!E3</f>
        <v>2</v>
      </c>
      <c r="F12" s="4">
        <f>'Dati'!F3</f>
        <v>87000</v>
      </c>
      <c r="G12" s="4">
        <f>'Dati'!G3</f>
        <v>0</v>
      </c>
    </row>
    <row r="13" spans="1:7" ht="24" customHeight="1">
      <c r="A13" s="4">
        <f>'Dati'!A4</f>
        <v>3</v>
      </c>
      <c r="B13" s="4" t="str">
        <f>'Dati'!B4</f>
        <v>s</v>
      </c>
      <c r="C13" s="4">
        <f>'Dati'!C4</f>
        <v>48</v>
      </c>
      <c r="D13" s="4" t="str">
        <f>'Dati'!D4</f>
        <v>īrē</v>
      </c>
      <c r="E13" s="4">
        <f>'Dati'!E4</f>
        <v>3</v>
      </c>
      <c r="F13" s="4">
        <f>'Dati'!F4</f>
        <v>65000</v>
      </c>
      <c r="G13" s="4">
        <f>'Dati'!G4</f>
        <v>1</v>
      </c>
    </row>
    <row r="14" spans="1:7" ht="24" customHeight="1">
      <c r="A14" s="4">
        <f>'Dati'!A5</f>
        <v>4</v>
      </c>
      <c r="B14" s="4" t="str">
        <f>'Dati'!B5</f>
        <v>s</v>
      </c>
      <c r="C14" s="4">
        <f>'Dati'!C5</f>
        <v>29</v>
      </c>
      <c r="D14" s="4" t="str">
        <f>'Dati'!D5</f>
        <v>īrē</v>
      </c>
      <c r="E14" s="4">
        <f>'Dati'!E5</f>
        <v>2</v>
      </c>
      <c r="F14" s="4">
        <f>'Dati'!F5</f>
        <v>87000</v>
      </c>
      <c r="G14" s="4">
        <f>'Dati'!G5</f>
        <v>1</v>
      </c>
    </row>
    <row r="15" spans="1:7" ht="24" customHeight="1">
      <c r="A15" s="4">
        <f>'Dati'!A6</f>
        <v>5</v>
      </c>
      <c r="B15" s="4" t="str">
        <f>'Dati'!B6</f>
        <v>v</v>
      </c>
      <c r="C15" s="4">
        <f>'Dati'!C6</f>
        <v>40</v>
      </c>
      <c r="D15" s="4" t="str">
        <f>'Dati'!D6</f>
        <v>īrē</v>
      </c>
      <c r="E15" s="4">
        <f>'Dati'!E6</f>
        <v>4</v>
      </c>
      <c r="F15" s="4">
        <f>'Dati'!F6</f>
        <v>60100</v>
      </c>
      <c r="G15" s="4">
        <f>'Dati'!G6</f>
        <v>0</v>
      </c>
    </row>
    <row r="16" spans="1:7" ht="24" customHeight="1">
      <c r="A16" s="4">
        <f>'Dati'!A7</f>
        <v>6</v>
      </c>
      <c r="B16" s="4" t="str">
        <f>'Dati'!B7</f>
        <v>v</v>
      </c>
      <c r="C16" s="4">
        <f>'Dati'!C7</f>
        <v>35</v>
      </c>
      <c r="D16" s="4" t="str">
        <f>'Dati'!D7</f>
        <v>īrē</v>
      </c>
      <c r="E16" s="4">
        <f>'Dati'!E7</f>
        <v>1</v>
      </c>
      <c r="F16" s="4">
        <f>'Dati'!F7</f>
        <v>80300</v>
      </c>
      <c r="G16" s="4">
        <f>'Dati'!G7</f>
        <v>0</v>
      </c>
    </row>
    <row r="17" spans="1:7" ht="24" customHeight="1">
      <c r="A17" s="4">
        <f>'Dati'!A8</f>
        <v>7</v>
      </c>
      <c r="B17" s="4" t="str">
        <f>'Dati'!B8</f>
        <v>s</v>
      </c>
      <c r="C17" s="4">
        <f>'Dati'!C8</f>
        <v>40</v>
      </c>
      <c r="D17" s="4" t="str">
        <f>'Dati'!D8</f>
        <v>īpašnieks</v>
      </c>
      <c r="E17" s="4">
        <f>'Dati'!E8</f>
        <v>2</v>
      </c>
      <c r="F17" s="4">
        <f>'Dati'!F8</f>
        <v>65000</v>
      </c>
      <c r="G17" s="4">
        <f>'Dati'!G8</f>
        <v>1</v>
      </c>
    </row>
    <row r="18" spans="1:7" ht="24" customHeight="1">
      <c r="A18" s="4">
        <f>'Dati'!A9</f>
        <v>8</v>
      </c>
      <c r="B18" s="4" t="str">
        <f>'Dati'!B9</f>
        <v>v</v>
      </c>
      <c r="C18" s="4">
        <f>'Dati'!C9</f>
        <v>40</v>
      </c>
      <c r="D18" s="4" t="str">
        <f>'Dati'!D9</f>
        <v>īrē</v>
      </c>
      <c r="E18" s="4">
        <f>'Dati'!E9</f>
        <v>2</v>
      </c>
      <c r="F18" s="4">
        <f>'Dati'!F9</f>
        <v>80300</v>
      </c>
      <c r="G18" s="4">
        <f>'Dati'!G9</f>
        <v>0</v>
      </c>
    </row>
    <row r="19" spans="1:7" ht="24" customHeight="1">
      <c r="A19" s="4">
        <f>'Dati'!A10</f>
        <v>9</v>
      </c>
      <c r="B19" s="4" t="str">
        <f>'Dati'!B10</f>
        <v>v</v>
      </c>
      <c r="C19" s="4">
        <f>'Dati'!C10</f>
        <v>35</v>
      </c>
      <c r="D19" s="4" t="str">
        <f>'Dati'!D10</f>
        <v>īpašnieks</v>
      </c>
      <c r="E19" s="4">
        <f>'Dati'!E10</f>
        <v>1</v>
      </c>
      <c r="F19" s="4">
        <f>'Dati'!F10</f>
        <v>60100</v>
      </c>
      <c r="G19" s="4">
        <f>'Dati'!G10</f>
        <v>0</v>
      </c>
    </row>
    <row r="20" spans="1:7" ht="24" customHeight="1">
      <c r="A20" s="4">
        <f>'Dati'!A11</f>
        <v>10</v>
      </c>
      <c r="B20" s="4" t="str">
        <f>'Dati'!B11</f>
        <v>s</v>
      </c>
      <c r="C20" s="4">
        <f>'Dati'!C11</f>
        <v>48</v>
      </c>
      <c r="D20" s="4" t="str">
        <f>'Dati'!D11</f>
        <v>īrē</v>
      </c>
      <c r="E20" s="4">
        <f>'Dati'!E11</f>
        <v>1</v>
      </c>
      <c r="F20" s="4">
        <f>'Dati'!F11</f>
        <v>60100</v>
      </c>
      <c r="G20" s="4">
        <f>'Dati'!G11</f>
        <v>1</v>
      </c>
    </row>
    <row r="21" spans="1:7" ht="24" customHeight="1">
      <c r="A21" s="4">
        <f>'Dati'!A12</f>
        <v>11</v>
      </c>
      <c r="B21" s="4" t="str">
        <f>'Dati'!B12</f>
        <v>s</v>
      </c>
      <c r="C21" s="4">
        <f>'Dati'!C12</f>
        <v>25</v>
      </c>
      <c r="D21" s="4" t="str">
        <f>'Dati'!D12</f>
        <v>īpašnieks</v>
      </c>
      <c r="E21" s="4">
        <f>'Dati'!E12</f>
        <v>2</v>
      </c>
      <c r="F21" s="4">
        <f>'Dati'!F12</f>
        <v>60600</v>
      </c>
      <c r="G21" s="4">
        <f>'Dati'!G12</f>
        <v>0</v>
      </c>
    </row>
    <row r="22" spans="1:7" ht="24" customHeight="1">
      <c r="A22" s="4">
        <f>'Dati'!A13</f>
        <v>12</v>
      </c>
      <c r="B22" s="4" t="str">
        <f>'Dati'!B13</f>
        <v>v</v>
      </c>
      <c r="C22" s="4">
        <f>'Dati'!C13</f>
        <v>29</v>
      </c>
      <c r="D22" s="4" t="str">
        <f>'Dati'!D13</f>
        <v>īrē</v>
      </c>
      <c r="E22" s="4">
        <f>'Dati'!E13</f>
        <v>4</v>
      </c>
      <c r="F22" s="4">
        <f>'Dati'!F13</f>
        <v>87000</v>
      </c>
      <c r="G22" s="4">
        <f>'Dati'!G13</f>
        <v>0</v>
      </c>
    </row>
    <row r="23" spans="1:7" ht="24" customHeight="1">
      <c r="A23" s="4">
        <f>'Dati'!A14</f>
        <v>13</v>
      </c>
      <c r="B23" s="4" t="str">
        <f>'Dati'!B14</f>
        <v>v</v>
      </c>
      <c r="C23" s="4">
        <f>'Dati'!C14</f>
        <v>40</v>
      </c>
      <c r="D23" s="4" t="str">
        <f>'Dati'!D14</f>
        <v>īpašnieks</v>
      </c>
      <c r="E23" s="4">
        <f>'Dati'!E14</f>
        <v>4</v>
      </c>
      <c r="F23" s="4">
        <f>'Dati'!F14</f>
        <v>87000</v>
      </c>
      <c r="G23" s="4">
        <f>'Dati'!G14</f>
        <v>1</v>
      </c>
    </row>
    <row r="24" spans="1:7" ht="24" customHeight="1">
      <c r="A24" s="4">
        <f>'Dati'!A15</f>
        <v>14</v>
      </c>
      <c r="B24" s="4" t="str">
        <f>'Dati'!B15</f>
        <v>s</v>
      </c>
      <c r="C24" s="4">
        <f>'Dati'!C15</f>
        <v>40</v>
      </c>
      <c r="D24" s="4" t="str">
        <f>'Dati'!D15</f>
        <v>īpašnieks</v>
      </c>
      <c r="E24" s="4">
        <f>'Dati'!E15</f>
        <v>0</v>
      </c>
      <c r="F24" s="4">
        <f>'Dati'!F15</f>
        <v>60600</v>
      </c>
      <c r="G24" s="4">
        <f>'Dati'!G15</f>
        <v>1</v>
      </c>
    </row>
    <row r="25" spans="1:7" ht="24" customHeight="1">
      <c r="A25" s="4">
        <f>'Dati'!A16</f>
        <v>15</v>
      </c>
      <c r="B25" s="4" t="str">
        <f>'Dati'!B16</f>
        <v>s</v>
      </c>
      <c r="C25" s="4">
        <f>'Dati'!C16</f>
        <v>35</v>
      </c>
      <c r="D25" s="4" t="str">
        <f>'Dati'!D16</f>
        <v>īrē</v>
      </c>
      <c r="E25" s="4">
        <f>'Dati'!E16</f>
        <v>1</v>
      </c>
      <c r="F25" s="4">
        <f>'Dati'!F16</f>
        <v>60600</v>
      </c>
      <c r="G25" s="4">
        <f>'Dati'!G16</f>
        <v>1</v>
      </c>
    </row>
    <row r="28" spans="1:7" ht="34" customHeight="1">
      <c r="A28" s="1" t="s">
        <v>62</v>
      </c>
      <c r="B28" s="1" t="s">
        <v>63</v>
      </c>
      <c r="C28" s="1" t="s">
        <v>64</v>
      </c>
      <c r="D28" s="1" t="s">
        <v>65</v>
      </c>
    </row>
    <row r="29" spans="1:7" ht="24" customHeight="1">
      <c r="A29" s="6" t="s">
        <v>23</v>
      </c>
      <c r="B29" s="7">
        <f>I40</f>
        <v>8.040497448979592</v>
      </c>
      <c r="C29" s="6">
        <v>2</v>
      </c>
      <c r="D29" s="6" t="s">
        <v>77</v>
      </c>
    </row>
    <row r="30" spans="1:7" ht="24" customHeight="1">
      <c r="A30" s="3" t="s">
        <v>24</v>
      </c>
      <c r="B30" s="8">
        <f>I50</f>
        <v>4.486607142857143</v>
      </c>
      <c r="C30" s="4">
        <v>5</v>
      </c>
      <c r="D30" s="4" t="s">
        <v>79</v>
      </c>
    </row>
    <row r="31" spans="1:7" ht="24" customHeight="1">
      <c r="A31" s="3" t="s">
        <v>25</v>
      </c>
      <c r="B31" s="8">
        <f>I57</f>
        <v>0.044642857142857144</v>
      </c>
      <c r="C31" s="4">
        <v>2</v>
      </c>
      <c r="D31" s="4" t="s">
        <v>79</v>
      </c>
    </row>
    <row r="32" spans="1:7" ht="24" customHeight="1">
      <c r="A32" s="3" t="s">
        <v>26</v>
      </c>
      <c r="B32" s="8">
        <f>I67</f>
        <v>2.6785714285714284</v>
      </c>
      <c r="C32" s="4">
        <v>5</v>
      </c>
      <c r="D32" s="4" t="s">
        <v>79</v>
      </c>
    </row>
    <row r="33" spans="1:9" ht="24" customHeight="1">
      <c r="A33" s="3" t="s">
        <v>27</v>
      </c>
      <c r="B33" s="8">
        <f>I77</f>
        <v>5.290178571428571</v>
      </c>
      <c r="C33" s="4">
        <v>5</v>
      </c>
      <c r="D33" s="4" t="s">
        <v>79</v>
      </c>
    </row>
    <row r="36" spans="1:9" ht="34" customHeight="1">
      <c r="A36" s="6" t="s">
        <v>23</v>
      </c>
      <c r="B36" s="6" t="s">
        <v>66</v>
      </c>
    </row>
    <row r="37" spans="1:9" ht="34" customHeight="1">
      <c r="A37" s="1" t="s">
        <v>67</v>
      </c>
      <c r="B37" s="1" t="s">
        <v>68</v>
      </c>
      <c r="C37" s="1" t="s">
        <v>69</v>
      </c>
      <c r="D37" s="1" t="s">
        <v>70</v>
      </c>
      <c r="E37" s="1" t="s">
        <v>71</v>
      </c>
      <c r="F37" s="1" t="s">
        <v>72</v>
      </c>
      <c r="G37" s="1" t="s">
        <v>73</v>
      </c>
      <c r="H37" s="1" t="s">
        <v>74</v>
      </c>
      <c r="I37" s="1" t="s">
        <v>75</v>
      </c>
    </row>
    <row r="38" spans="1:9" ht="24" customHeight="1">
      <c r="A38" s="4" t="s">
        <v>32</v>
      </c>
      <c r="B38" s="4">
        <f>COUNTIFS($B$11:$B$25,$A38,$G$11:$G$25,0)</f>
        <v>1</v>
      </c>
      <c r="C38" s="4">
        <f>COUNTIFS($B$11:$B$25,$A38,$G$11:$G$25,1)</f>
        <v>6</v>
      </c>
      <c r="D38" s="4">
        <f>SUM(B38:C38)</f>
        <v>7</v>
      </c>
      <c r="E38" s="8">
        <f>D38*$B$6/$B$5</f>
        <v>3.7333333333333334</v>
      </c>
      <c r="F38" s="8">
        <f>D38*$B$7/$B$5</f>
        <v>3.2666666666666666</v>
      </c>
      <c r="G38" s="8">
        <f>(B38-E38)^2/E38</f>
        <v>2.001190476190476</v>
      </c>
      <c r="H38" s="8">
        <f>(C38-F38)^2/F38</f>
        <v>2.287074829931973</v>
      </c>
      <c r="I38" s="8">
        <f>SUM(G38:H38)</f>
        <v>4.288265306122449</v>
      </c>
    </row>
    <row r="39" spans="1:9" ht="24" customHeight="1">
      <c r="A39" s="4" t="s">
        <v>29</v>
      </c>
      <c r="B39" s="4">
        <f>COUNTIFS($B$11:$B$25,$A39,$G$11:$G$25,0)</f>
        <v>7</v>
      </c>
      <c r="C39" s="4">
        <f>COUNTIFS($B$11:$B$25,$A39,$G$11:$G$25,1)</f>
        <v>1</v>
      </c>
      <c r="D39" s="4">
        <f>SUM(B39:C39)</f>
        <v>8</v>
      </c>
      <c r="E39" s="8">
        <f>D39*$B$6/$B$5</f>
        <v>4.266666666666667</v>
      </c>
      <c r="F39" s="8">
        <f>D39*$B$7/$B$5</f>
        <v>3.7333333333333334</v>
      </c>
      <c r="G39" s="8">
        <f>(B39-E39)^2/E39</f>
        <v>1.7510416666666666</v>
      </c>
      <c r="H39" s="8">
        <f>(C39-F39)^2/F39</f>
        <v>2.001190476190476</v>
      </c>
      <c r="I39" s="8">
        <f>SUM(G39:H39)</f>
        <v>3.752232142857143</v>
      </c>
    </row>
    <row r="40" spans="1:9" ht="24" customHeight="1">
      <c r="A40" s="6" t="s">
        <v>76</v>
      </c>
      <c r="I40" s="7">
        <f>SUM(I38:I39)</f>
        <v>8.040497448979592</v>
      </c>
    </row>
    <row r="43" spans="1:9" ht="34" customHeight="1">
      <c r="A43" s="2" t="s">
        <v>24</v>
      </c>
      <c r="B43" s="2" t="s">
        <v>78</v>
      </c>
    </row>
    <row r="44" spans="1:9" ht="34" customHeight="1">
      <c r="A44" s="1" t="s">
        <v>67</v>
      </c>
      <c r="B44" s="1" t="s">
        <v>68</v>
      </c>
      <c r="C44" s="1" t="s">
        <v>69</v>
      </c>
      <c r="D44" s="1" t="s">
        <v>70</v>
      </c>
      <c r="E44" s="1" t="s">
        <v>71</v>
      </c>
      <c r="F44" s="1" t="s">
        <v>72</v>
      </c>
      <c r="G44" s="1" t="s">
        <v>73</v>
      </c>
      <c r="H44" s="1" t="s">
        <v>74</v>
      </c>
      <c r="I44" s="1" t="s">
        <v>75</v>
      </c>
    </row>
    <row r="45" spans="1:9" ht="24" customHeight="1">
      <c r="A45" s="4">
        <v>25</v>
      </c>
      <c r="B45" s="4">
        <f>COUNTIFS($C$11:$C$25,$A45,$G$11:$G$25,0)</f>
        <v>1</v>
      </c>
      <c r="C45" s="4">
        <f>COUNTIFS($C$11:$C$25,$A45,$G$11:$G$25,1)</f>
        <v>0</v>
      </c>
      <c r="D45" s="4">
        <f>SUM(B45:C45)</f>
        <v>1</v>
      </c>
      <c r="E45" s="8">
        <f>D45*$B$6/$B$5</f>
        <v>0.5333333333333333</v>
      </c>
      <c r="F45" s="8">
        <f>D45*$B$7/$B$5</f>
        <v>0.4666666666666667</v>
      </c>
      <c r="G45" s="8">
        <f>(B45-E45)^2/E45</f>
        <v>0.4083333333333333</v>
      </c>
      <c r="H45" s="8">
        <f>(C45-F45)^2/F45</f>
        <v>0.4666666666666667</v>
      </c>
      <c r="I45" s="8">
        <f>SUM(G45:H45)</f>
        <v>0.875</v>
      </c>
    </row>
    <row r="46" spans="1:9" ht="24" customHeight="1">
      <c r="A46" s="4">
        <v>29</v>
      </c>
      <c r="B46" s="4">
        <f>COUNTIFS($C$11:$C$25,$A46,$G$11:$G$25,0)</f>
        <v>2</v>
      </c>
      <c r="C46" s="4">
        <f>COUNTIFS($C$11:$C$25,$A46,$G$11:$G$25,1)</f>
        <v>1</v>
      </c>
      <c r="D46" s="4">
        <f>SUM(B46:C46)</f>
        <v>3</v>
      </c>
      <c r="E46" s="8">
        <f>D46*$B$6/$B$5</f>
        <v>1.6</v>
      </c>
      <c r="F46" s="8">
        <f>D46*$B$7/$B$5</f>
        <v>1.4</v>
      </c>
      <c r="G46" s="8">
        <f>(B46-E46)^2/E46</f>
        <v>0.1</v>
      </c>
      <c r="H46" s="8">
        <f>(C46-F46)^2/F46</f>
        <v>0.11428571428571428</v>
      </c>
      <c r="I46" s="8">
        <f>SUM(G46:H46)</f>
        <v>0.21428571428571427</v>
      </c>
    </row>
    <row r="47" spans="1:9" ht="24" customHeight="1">
      <c r="A47" s="4">
        <v>35</v>
      </c>
      <c r="B47" s="4">
        <f>COUNTIFS($C$11:$C$25,$A47,$G$11:$G$25,0)</f>
        <v>3</v>
      </c>
      <c r="C47" s="4">
        <f>COUNTIFS($C$11:$C$25,$A47,$G$11:$G$25,1)</f>
        <v>1</v>
      </c>
      <c r="D47" s="4">
        <f>SUM(B47:C47)</f>
        <v>4</v>
      </c>
      <c r="E47" s="8">
        <f>D47*$B$6/$B$5</f>
        <v>2.1333333333333333</v>
      </c>
      <c r="F47" s="8">
        <f>D47*$B$7/$B$5</f>
        <v>1.8666666666666667</v>
      </c>
      <c r="G47" s="8">
        <f>(B47-E47)^2/E47</f>
        <v>0.35208333333333336</v>
      </c>
      <c r="H47" s="8">
        <f>(C47-F47)^2/F47</f>
        <v>0.4023809523809524</v>
      </c>
      <c r="I47" s="8">
        <f>SUM(G47:H47)</f>
        <v>0.7544642857142857</v>
      </c>
    </row>
    <row r="48" spans="1:9" ht="24" customHeight="1">
      <c r="A48" s="4">
        <v>40</v>
      </c>
      <c r="B48" s="4">
        <f>COUNTIFS($C$11:$C$25,$A48,$G$11:$G$25,0)</f>
        <v>2</v>
      </c>
      <c r="C48" s="4">
        <f>COUNTIFS($C$11:$C$25,$A48,$G$11:$G$25,1)</f>
        <v>3</v>
      </c>
      <c r="D48" s="4">
        <f>SUM(B48:C48)</f>
        <v>5</v>
      </c>
      <c r="E48" s="8">
        <f>D48*$B$6/$B$5</f>
        <v>2.6666666666666665</v>
      </c>
      <c r="F48" s="8">
        <f>D48*$B$7/$B$5</f>
        <v>2.3333333333333335</v>
      </c>
      <c r="G48" s="8">
        <f>(B48-E48)^2/E48</f>
        <v>0.16666666666666666</v>
      </c>
      <c r="H48" s="8">
        <f>(C48-F48)^2/F48</f>
        <v>0.19047619047619047</v>
      </c>
      <c r="I48" s="8">
        <f>SUM(G48:H48)</f>
        <v>0.35714285714285715</v>
      </c>
    </row>
    <row r="49" spans="1:9" ht="24" customHeight="1">
      <c r="A49" s="4">
        <v>48</v>
      </c>
      <c r="B49" s="4">
        <f>COUNTIFS($C$11:$C$25,$A49,$G$11:$G$25,0)</f>
        <v>0</v>
      </c>
      <c r="C49" s="4">
        <f>COUNTIFS($C$11:$C$25,$A49,$G$11:$G$25,1)</f>
        <v>2</v>
      </c>
      <c r="D49" s="4">
        <f>SUM(B49:C49)</f>
        <v>2</v>
      </c>
      <c r="E49" s="8">
        <f>D49*$B$6/$B$5</f>
        <v>1.0666666666666667</v>
      </c>
      <c r="F49" s="8">
        <f>D49*$B$7/$B$5</f>
        <v>0.9333333333333333</v>
      </c>
      <c r="G49" s="8">
        <f>(B49-E49)^2/E49</f>
        <v>1.0666666666666667</v>
      </c>
      <c r="H49" s="8">
        <f>(C49-F49)^2/F49</f>
        <v>1.2190476190476192</v>
      </c>
      <c r="I49" s="8">
        <f>SUM(G49:H49)</f>
        <v>2.2857142857142856</v>
      </c>
    </row>
    <row r="50" spans="1:9" ht="24" customHeight="1">
      <c r="A50" s="2" t="s">
        <v>76</v>
      </c>
      <c r="I50" s="8">
        <f>SUM(I45:I49)</f>
        <v>4.486607142857143</v>
      </c>
    </row>
    <row r="53" spans="1:9" ht="34" customHeight="1">
      <c r="A53" s="2" t="s">
        <v>25</v>
      </c>
      <c r="B53" s="2" t="s">
        <v>78</v>
      </c>
    </row>
    <row r="54" spans="1:9" ht="34" customHeight="1">
      <c r="A54" s="1" t="s">
        <v>67</v>
      </c>
      <c r="B54" s="1" t="s">
        <v>68</v>
      </c>
      <c r="C54" s="1" t="s">
        <v>69</v>
      </c>
      <c r="D54" s="1" t="s">
        <v>70</v>
      </c>
      <c r="E54" s="1" t="s">
        <v>71</v>
      </c>
      <c r="F54" s="1" t="s">
        <v>72</v>
      </c>
      <c r="G54" s="1" t="s">
        <v>73</v>
      </c>
      <c r="H54" s="1" t="s">
        <v>74</v>
      </c>
      <c r="I54" s="1" t="s">
        <v>75</v>
      </c>
    </row>
    <row r="55" spans="1:9" ht="24" customHeight="1">
      <c r="A55" s="4" t="s">
        <v>31</v>
      </c>
      <c r="B55" s="4">
        <f>COUNTIFS($D$11:$D$25,$A55,$G$11:$G$25,0)</f>
        <v>3</v>
      </c>
      <c r="C55" s="4">
        <f>COUNTIFS($D$11:$D$25,$A55,$G$11:$G$25,1)</f>
        <v>3</v>
      </c>
      <c r="D55" s="4">
        <f>SUM(B55:C55)</f>
        <v>6</v>
      </c>
      <c r="E55" s="8">
        <f>D55*$B$6/$B$5</f>
        <v>3.2</v>
      </c>
      <c r="F55" s="8">
        <f>D55*$B$7/$B$5</f>
        <v>2.8</v>
      </c>
      <c r="G55" s="8">
        <f>(B55-E55)^2/E55</f>
        <v>0.0125</v>
      </c>
      <c r="H55" s="8">
        <f>(C55-F55)^2/F55</f>
        <v>0.014285714285714285</v>
      </c>
      <c r="I55" s="8">
        <f>SUM(G55:H55)</f>
        <v>0.026785714285714284</v>
      </c>
    </row>
    <row r="56" spans="1:9" ht="24" customHeight="1">
      <c r="A56" s="4" t="s">
        <v>30</v>
      </c>
      <c r="B56" s="4">
        <f>COUNTIFS($D$11:$D$25,$A56,$G$11:$G$25,0)</f>
        <v>5</v>
      </c>
      <c r="C56" s="4">
        <f>COUNTIFS($D$11:$D$25,$A56,$G$11:$G$25,1)</f>
        <v>4</v>
      </c>
      <c r="D56" s="4">
        <f>SUM(B56:C56)</f>
        <v>9</v>
      </c>
      <c r="E56" s="8">
        <f>D56*$B$6/$B$5</f>
        <v>4.8</v>
      </c>
      <c r="F56" s="8">
        <f>D56*$B$7/$B$5</f>
        <v>4.2</v>
      </c>
      <c r="G56" s="8">
        <f>(B56-E56)^2/E56</f>
        <v>0.008333333333333333</v>
      </c>
      <c r="H56" s="8">
        <f>(C56-F56)^2/F56</f>
        <v>0.009523809523809525</v>
      </c>
      <c r="I56" s="8">
        <f>SUM(G56:H56)</f>
        <v>0.017857142857142856</v>
      </c>
    </row>
    <row r="57" spans="1:9" ht="24" customHeight="1">
      <c r="A57" s="2" t="s">
        <v>76</v>
      </c>
      <c r="I57" s="8">
        <f>SUM(I55:I56)</f>
        <v>0.044642857142857144</v>
      </c>
    </row>
    <row r="60" spans="1:9" ht="34" customHeight="1">
      <c r="A60" s="2" t="s">
        <v>26</v>
      </c>
      <c r="B60" s="2" t="s">
        <v>78</v>
      </c>
    </row>
    <row r="61" spans="1:9" ht="34" customHeight="1">
      <c r="A61" s="1" t="s">
        <v>67</v>
      </c>
      <c r="B61" s="1" t="s">
        <v>68</v>
      </c>
      <c r="C61" s="1" t="s">
        <v>69</v>
      </c>
      <c r="D61" s="1" t="s">
        <v>70</v>
      </c>
      <c r="E61" s="1" t="s">
        <v>71</v>
      </c>
      <c r="F61" s="1" t="s">
        <v>72</v>
      </c>
      <c r="G61" s="1" t="s">
        <v>73</v>
      </c>
      <c r="H61" s="1" t="s">
        <v>74</v>
      </c>
      <c r="I61" s="1" t="s">
        <v>75</v>
      </c>
    </row>
    <row r="62" spans="1:9" ht="24" customHeight="1">
      <c r="A62" s="4">
        <v>0</v>
      </c>
      <c r="B62" s="4">
        <f>COUNTIFS($E$11:$E$25,$A62,$G$11:$G$25,0)</f>
        <v>0</v>
      </c>
      <c r="C62" s="4">
        <f>COUNTIFS($E$11:$E$25,$A62,$G$11:$G$25,1)</f>
        <v>1</v>
      </c>
      <c r="D62" s="4">
        <f>SUM(B62:C62)</f>
        <v>1</v>
      </c>
      <c r="E62" s="8">
        <f>D62*$B$6/$B$5</f>
        <v>0.5333333333333333</v>
      </c>
      <c r="F62" s="8">
        <f>D62*$B$7/$B$5</f>
        <v>0.4666666666666667</v>
      </c>
      <c r="G62" s="8">
        <f>(B62-E62)^2/E62</f>
        <v>0.5333333333333333</v>
      </c>
      <c r="H62" s="8">
        <f>(C62-F62)^2/F62</f>
        <v>0.6095238095238096</v>
      </c>
      <c r="I62" s="8">
        <f>SUM(G62:H62)</f>
        <v>1.1428571428571428</v>
      </c>
    </row>
    <row r="63" spans="1:9" ht="24" customHeight="1">
      <c r="A63" s="4">
        <v>1</v>
      </c>
      <c r="B63" s="4">
        <f>COUNTIFS($E$11:$E$25,$A63,$G$11:$G$25,0)</f>
        <v>3</v>
      </c>
      <c r="C63" s="4">
        <f>COUNTIFS($E$11:$E$25,$A63,$G$11:$G$25,1)</f>
        <v>2</v>
      </c>
      <c r="D63" s="4">
        <f>SUM(B63:C63)</f>
        <v>5</v>
      </c>
      <c r="E63" s="8">
        <f>D63*$B$6/$B$5</f>
        <v>2.6666666666666665</v>
      </c>
      <c r="F63" s="8">
        <f>D63*$B$7/$B$5</f>
        <v>2.3333333333333335</v>
      </c>
      <c r="G63" s="8">
        <f>(B63-E63)^2/E63</f>
        <v>0.041666666666666664</v>
      </c>
      <c r="H63" s="8">
        <f>(C63-F63)^2/F63</f>
        <v>0.047619047619047616</v>
      </c>
      <c r="I63" s="8">
        <f>SUM(G63:H63)</f>
        <v>0.08928571428571429</v>
      </c>
    </row>
    <row r="64" spans="1:9" ht="24" customHeight="1">
      <c r="A64" s="4">
        <v>2</v>
      </c>
      <c r="B64" s="4">
        <f>COUNTIFS($E$11:$E$25,$A64,$G$11:$G$25,0)</f>
        <v>3</v>
      </c>
      <c r="C64" s="4">
        <f>COUNTIFS($E$11:$E$25,$A64,$G$11:$G$25,1)</f>
        <v>2</v>
      </c>
      <c r="D64" s="4">
        <f>SUM(B64:C64)</f>
        <v>5</v>
      </c>
      <c r="E64" s="8">
        <f>D64*$B$6/$B$5</f>
        <v>2.6666666666666665</v>
      </c>
      <c r="F64" s="8">
        <f>D64*$B$7/$B$5</f>
        <v>2.3333333333333335</v>
      </c>
      <c r="G64" s="8">
        <f>(B64-E64)^2/E64</f>
        <v>0.041666666666666664</v>
      </c>
      <c r="H64" s="8">
        <f>(C64-F64)^2/F64</f>
        <v>0.047619047619047616</v>
      </c>
      <c r="I64" s="8">
        <f>SUM(G64:H64)</f>
        <v>0.08928571428571429</v>
      </c>
    </row>
    <row r="65" spans="1:9" ht="24" customHeight="1">
      <c r="A65" s="4">
        <v>3</v>
      </c>
      <c r="B65" s="4">
        <f>COUNTIFS($E$11:$E$25,$A65,$G$11:$G$25,0)</f>
        <v>0</v>
      </c>
      <c r="C65" s="4">
        <f>COUNTIFS($E$11:$E$25,$A65,$G$11:$G$25,1)</f>
        <v>1</v>
      </c>
      <c r="D65" s="4">
        <f>SUM(B65:C65)</f>
        <v>1</v>
      </c>
      <c r="E65" s="8">
        <f>D65*$B$6/$B$5</f>
        <v>0.5333333333333333</v>
      </c>
      <c r="F65" s="8">
        <f>D65*$B$7/$B$5</f>
        <v>0.4666666666666667</v>
      </c>
      <c r="G65" s="8">
        <f>(B65-E65)^2/E65</f>
        <v>0.5333333333333333</v>
      </c>
      <c r="H65" s="8">
        <f>(C65-F65)^2/F65</f>
        <v>0.6095238095238096</v>
      </c>
      <c r="I65" s="8">
        <f>SUM(G65:H65)</f>
        <v>1.1428571428571428</v>
      </c>
    </row>
    <row r="66" spans="1:9" ht="24" customHeight="1">
      <c r="A66" s="4">
        <v>4</v>
      </c>
      <c r="B66" s="4">
        <f>COUNTIFS($E$11:$E$25,$A66,$G$11:$G$25,0)</f>
        <v>2</v>
      </c>
      <c r="C66" s="4">
        <f>COUNTIFS($E$11:$E$25,$A66,$G$11:$G$25,1)</f>
        <v>1</v>
      </c>
      <c r="D66" s="4">
        <f>SUM(B66:C66)</f>
        <v>3</v>
      </c>
      <c r="E66" s="8">
        <f>D66*$B$6/$B$5</f>
        <v>1.6</v>
      </c>
      <c r="F66" s="8">
        <f>D66*$B$7/$B$5</f>
        <v>1.4</v>
      </c>
      <c r="G66" s="8">
        <f>(B66-E66)^2/E66</f>
        <v>0.1</v>
      </c>
      <c r="H66" s="8">
        <f>(C66-F66)^2/F66</f>
        <v>0.11428571428571428</v>
      </c>
      <c r="I66" s="8">
        <f>SUM(G66:H66)</f>
        <v>0.21428571428571427</v>
      </c>
    </row>
    <row r="67" spans="1:9" ht="24" customHeight="1">
      <c r="A67" s="2" t="s">
        <v>76</v>
      </c>
      <c r="I67" s="8">
        <f>SUM(I62:I66)</f>
        <v>2.6785714285714284</v>
      </c>
    </row>
    <row r="70" spans="1:9" ht="34" customHeight="1">
      <c r="A70" s="2" t="s">
        <v>27</v>
      </c>
      <c r="B70" s="2" t="s">
        <v>78</v>
      </c>
    </row>
    <row r="71" spans="1:9" ht="34" customHeight="1">
      <c r="A71" s="1" t="s">
        <v>67</v>
      </c>
      <c r="B71" s="1" t="s">
        <v>68</v>
      </c>
      <c r="C71" s="1" t="s">
        <v>69</v>
      </c>
      <c r="D71" s="1" t="s">
        <v>70</v>
      </c>
      <c r="E71" s="1" t="s">
        <v>71</v>
      </c>
      <c r="F71" s="1" t="s">
        <v>72</v>
      </c>
      <c r="G71" s="1" t="s">
        <v>73</v>
      </c>
      <c r="H71" s="1" t="s">
        <v>74</v>
      </c>
      <c r="I71" s="1" t="s">
        <v>75</v>
      </c>
    </row>
    <row r="72" spans="1:9" ht="24" customHeight="1">
      <c r="A72" s="4">
        <v>60100</v>
      </c>
      <c r="B72" s="4">
        <f>COUNTIFS($F$11:$F$25,$A72,$G$11:$G$25,0)</f>
        <v>3</v>
      </c>
      <c r="C72" s="4">
        <f>COUNTIFS($F$11:$F$25,$A72,$G$11:$G$25,1)</f>
        <v>1</v>
      </c>
      <c r="D72" s="4">
        <f>SUM(B72:C72)</f>
        <v>4</v>
      </c>
      <c r="E72" s="8">
        <f>D72*$B$6/$B$5</f>
        <v>2.1333333333333333</v>
      </c>
      <c r="F72" s="8">
        <f>D72*$B$7/$B$5</f>
        <v>1.8666666666666667</v>
      </c>
      <c r="G72" s="8">
        <f>(B72-E72)^2/E72</f>
        <v>0.35208333333333336</v>
      </c>
      <c r="H72" s="8">
        <f>(C72-F72)^2/F72</f>
        <v>0.4023809523809524</v>
      </c>
      <c r="I72" s="8">
        <f>SUM(G72:H72)</f>
        <v>0.7544642857142857</v>
      </c>
    </row>
    <row r="73" spans="1:9" ht="24" customHeight="1">
      <c r="A73" s="4">
        <v>60600</v>
      </c>
      <c r="B73" s="4">
        <f>COUNTIFS($F$11:$F$25,$A73,$G$11:$G$25,0)</f>
        <v>1</v>
      </c>
      <c r="C73" s="4">
        <f>COUNTIFS($F$11:$F$25,$A73,$G$11:$G$25,1)</f>
        <v>2</v>
      </c>
      <c r="D73" s="4">
        <f>SUM(B73:C73)</f>
        <v>3</v>
      </c>
      <c r="E73" s="8">
        <f>D73*$B$6/$B$5</f>
        <v>1.6</v>
      </c>
      <c r="F73" s="8">
        <f>D73*$B$7/$B$5</f>
        <v>1.4</v>
      </c>
      <c r="G73" s="8">
        <f>(B73-E73)^2/E73</f>
        <v>0.225</v>
      </c>
      <c r="H73" s="8">
        <f>(C73-F73)^2/F73</f>
        <v>0.2571428571428571</v>
      </c>
      <c r="I73" s="8">
        <f>SUM(G73:H73)</f>
        <v>0.48214285714285715</v>
      </c>
    </row>
    <row r="74" spans="1:9" ht="24" customHeight="1">
      <c r="A74" s="4">
        <v>65000</v>
      </c>
      <c r="B74" s="4">
        <f>COUNTIFS($F$11:$F$25,$A74,$G$11:$G$25,0)</f>
        <v>0</v>
      </c>
      <c r="C74" s="4">
        <f>COUNTIFS($F$11:$F$25,$A74,$G$11:$G$25,1)</f>
        <v>2</v>
      </c>
      <c r="D74" s="4">
        <f>SUM(B74:C74)</f>
        <v>2</v>
      </c>
      <c r="E74" s="8">
        <f>D74*$B$6/$B$5</f>
        <v>1.0666666666666667</v>
      </c>
      <c r="F74" s="8">
        <f>D74*$B$7/$B$5</f>
        <v>0.9333333333333333</v>
      </c>
      <c r="G74" s="8">
        <f>(B74-E74)^2/E74</f>
        <v>1.0666666666666667</v>
      </c>
      <c r="H74" s="8">
        <f>(C74-F74)^2/F74</f>
        <v>1.2190476190476192</v>
      </c>
      <c r="I74" s="8">
        <f>SUM(G74:H74)</f>
        <v>2.2857142857142856</v>
      </c>
    </row>
    <row r="75" spans="1:9" ht="24" customHeight="1">
      <c r="A75" s="4">
        <v>80300</v>
      </c>
      <c r="B75" s="4">
        <f>COUNTIFS($F$11:$F$25,$A75,$G$11:$G$25,0)</f>
        <v>2</v>
      </c>
      <c r="C75" s="4">
        <f>COUNTIFS($F$11:$F$25,$A75,$G$11:$G$25,1)</f>
        <v>0</v>
      </c>
      <c r="D75" s="4">
        <f>SUM(B75:C75)</f>
        <v>2</v>
      </c>
      <c r="E75" s="8">
        <f>D75*$B$6/$B$5</f>
        <v>1.0666666666666667</v>
      </c>
      <c r="F75" s="8">
        <f>D75*$B$7/$B$5</f>
        <v>0.9333333333333333</v>
      </c>
      <c r="G75" s="8">
        <f>(B75-E75)^2/E75</f>
        <v>0.8166666666666667</v>
      </c>
      <c r="H75" s="8">
        <f>(C75-F75)^2/F75</f>
        <v>0.9333333333333333</v>
      </c>
      <c r="I75" s="8">
        <f>SUM(G75:H75)</f>
        <v>1.75</v>
      </c>
    </row>
    <row r="76" spans="1:9" ht="24" customHeight="1">
      <c r="A76" s="4">
        <v>87000</v>
      </c>
      <c r="B76" s="4">
        <f>COUNTIFS($F$11:$F$25,$A76,$G$11:$G$25,0)</f>
        <v>2</v>
      </c>
      <c r="C76" s="4">
        <f>COUNTIFS($F$11:$F$25,$A76,$G$11:$G$25,1)</f>
        <v>2</v>
      </c>
      <c r="D76" s="4">
        <f>SUM(B76:C76)</f>
        <v>4</v>
      </c>
      <c r="E76" s="8">
        <f>D76*$B$6/$B$5</f>
        <v>2.1333333333333333</v>
      </c>
      <c r="F76" s="8">
        <f>D76*$B$7/$B$5</f>
        <v>1.8666666666666667</v>
      </c>
      <c r="G76" s="8">
        <f>(B76-E76)^2/E76</f>
        <v>0.008333333333333333</v>
      </c>
      <c r="H76" s="8">
        <f>(C76-F76)^2/F76</f>
        <v>0.009523809523809525</v>
      </c>
      <c r="I76" s="8">
        <f>SUM(G76:H76)</f>
        <v>0.017857142857142856</v>
      </c>
    </row>
    <row r="77" spans="1:9" ht="24" customHeight="1">
      <c r="A77" s="2" t="s">
        <v>76</v>
      </c>
      <c r="I77" s="8">
        <f>SUM(I72:I76)</f>
        <v>5.290178571428571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showGridLines="1" view="normal" zoomScale="90" zoomScaleNormal="9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24" customHeight="1"/>
  <cols>
    <col min="1" max="1" width="24.7109375" customWidth="1"/>
    <col min="2" max="2" width="18.7109375" customWidth="1"/>
    <col min="3" max="3" width="14.7109375" customWidth="1"/>
    <col min="4" max="4" width="11.7109375" customWidth="1"/>
    <col min="5" max="6" width="15.7109375" customWidth="1"/>
    <col min="7" max="8" width="19.7109375" customWidth="1"/>
    <col min="9" max="9" width="15.7109375" customWidth="1"/>
  </cols>
  <sheetData>
    <row r="1" spans="1:7" ht="24" customHeight="1">
      <c r="A1" s="5" t="s">
        <v>80</v>
      </c>
      <c r="B1" s="5" t="s">
        <v>81</v>
      </c>
    </row>
    <row r="2" spans="1:7" ht="48" customHeight="1">
      <c r="A2" s="2" t="s">
        <v>55</v>
      </c>
      <c r="B2" s="3" t="s">
        <v>82</v>
      </c>
    </row>
    <row r="3" spans="1:7" ht="34" customHeight="1">
      <c r="A3" s="2" t="s">
        <v>57</v>
      </c>
      <c r="B3" s="6" t="s">
        <v>24</v>
      </c>
    </row>
    <row r="5" spans="1:7" ht="24" customHeight="1">
      <c r="A5" s="2" t="s">
        <v>58</v>
      </c>
      <c r="B5" s="4">
        <f>COUNTA($A$11:$A$17)</f>
        <v>7</v>
      </c>
    </row>
    <row r="6" spans="1:7" ht="24" customHeight="1">
      <c r="A6" s="2" t="s">
        <v>59</v>
      </c>
      <c r="B6" s="4">
        <f>COUNTIF($G$11:$G$17,0)</f>
        <v>1</v>
      </c>
    </row>
    <row r="7" spans="1:7" ht="24" customHeight="1">
      <c r="A7" s="2" t="s">
        <v>60</v>
      </c>
      <c r="B7" s="4">
        <f>COUNTIF($G$11:$G$17,1)</f>
        <v>6</v>
      </c>
    </row>
    <row r="9" spans="1:7" ht="24" customHeight="1">
      <c r="A9" s="2" t="s">
        <v>61</v>
      </c>
    </row>
    <row r="10" spans="1:7" ht="34" customHeight="1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</row>
    <row r="11" spans="1:7" ht="24" customHeight="1">
      <c r="A11" s="4">
        <f>'Dati'!A4</f>
        <v>3</v>
      </c>
      <c r="B11" s="4" t="str">
        <f>'Dati'!B4</f>
        <v>s</v>
      </c>
      <c r="C11" s="4">
        <f>'Dati'!C4</f>
        <v>48</v>
      </c>
      <c r="D11" s="4" t="str">
        <f>'Dati'!D4</f>
        <v>īrē</v>
      </c>
      <c r="E11" s="4">
        <f>'Dati'!E4</f>
        <v>3</v>
      </c>
      <c r="F11" s="4">
        <f>'Dati'!F4</f>
        <v>65000</v>
      </c>
      <c r="G11" s="4">
        <f>'Dati'!G4</f>
        <v>1</v>
      </c>
    </row>
    <row r="12" spans="1:7" ht="24" customHeight="1">
      <c r="A12" s="4">
        <f>'Dati'!A5</f>
        <v>4</v>
      </c>
      <c r="B12" s="4" t="str">
        <f>'Dati'!B5</f>
        <v>s</v>
      </c>
      <c r="C12" s="4">
        <f>'Dati'!C5</f>
        <v>29</v>
      </c>
      <c r="D12" s="4" t="str">
        <f>'Dati'!D5</f>
        <v>īrē</v>
      </c>
      <c r="E12" s="4">
        <f>'Dati'!E5</f>
        <v>2</v>
      </c>
      <c r="F12" s="4">
        <f>'Dati'!F5</f>
        <v>87000</v>
      </c>
      <c r="G12" s="4">
        <f>'Dati'!G5</f>
        <v>1</v>
      </c>
    </row>
    <row r="13" spans="1:7" ht="24" customHeight="1">
      <c r="A13" s="4">
        <f>'Dati'!A8</f>
        <v>7</v>
      </c>
      <c r="B13" s="4" t="str">
        <f>'Dati'!B8</f>
        <v>s</v>
      </c>
      <c r="C13" s="4">
        <f>'Dati'!C8</f>
        <v>40</v>
      </c>
      <c r="D13" s="4" t="str">
        <f>'Dati'!D8</f>
        <v>īpašnieks</v>
      </c>
      <c r="E13" s="4">
        <f>'Dati'!E8</f>
        <v>2</v>
      </c>
      <c r="F13" s="4">
        <f>'Dati'!F8</f>
        <v>65000</v>
      </c>
      <c r="G13" s="4">
        <f>'Dati'!G8</f>
        <v>1</v>
      </c>
    </row>
    <row r="14" spans="1:7" ht="24" customHeight="1">
      <c r="A14" s="4">
        <f>'Dati'!A11</f>
        <v>10</v>
      </c>
      <c r="B14" s="4" t="str">
        <f>'Dati'!B11</f>
        <v>s</v>
      </c>
      <c r="C14" s="4">
        <f>'Dati'!C11</f>
        <v>48</v>
      </c>
      <c r="D14" s="4" t="str">
        <f>'Dati'!D11</f>
        <v>īrē</v>
      </c>
      <c r="E14" s="4">
        <f>'Dati'!E11</f>
        <v>1</v>
      </c>
      <c r="F14" s="4">
        <f>'Dati'!F11</f>
        <v>60100</v>
      </c>
      <c r="G14" s="4">
        <f>'Dati'!G11</f>
        <v>1</v>
      </c>
    </row>
    <row r="15" spans="1:7" ht="24" customHeight="1">
      <c r="A15" s="4">
        <f>'Dati'!A12</f>
        <v>11</v>
      </c>
      <c r="B15" s="4" t="str">
        <f>'Dati'!B12</f>
        <v>s</v>
      </c>
      <c r="C15" s="4">
        <f>'Dati'!C12</f>
        <v>25</v>
      </c>
      <c r="D15" s="4" t="str">
        <f>'Dati'!D12</f>
        <v>īpašnieks</v>
      </c>
      <c r="E15" s="4">
        <f>'Dati'!E12</f>
        <v>2</v>
      </c>
      <c r="F15" s="4">
        <f>'Dati'!F12</f>
        <v>60600</v>
      </c>
      <c r="G15" s="4">
        <f>'Dati'!G12</f>
        <v>0</v>
      </c>
    </row>
    <row r="16" spans="1:7" ht="24" customHeight="1">
      <c r="A16" s="4">
        <f>'Dati'!A15</f>
        <v>14</v>
      </c>
      <c r="B16" s="4" t="str">
        <f>'Dati'!B15</f>
        <v>s</v>
      </c>
      <c r="C16" s="4">
        <f>'Dati'!C15</f>
        <v>40</v>
      </c>
      <c r="D16" s="4" t="str">
        <f>'Dati'!D15</f>
        <v>īpašnieks</v>
      </c>
      <c r="E16" s="4">
        <f>'Dati'!E15</f>
        <v>0</v>
      </c>
      <c r="F16" s="4">
        <f>'Dati'!F15</f>
        <v>60600</v>
      </c>
      <c r="G16" s="4">
        <f>'Dati'!G15</f>
        <v>1</v>
      </c>
    </row>
    <row r="17" spans="1:9" ht="24" customHeight="1">
      <c r="A17" s="4">
        <f>'Dati'!A16</f>
        <v>15</v>
      </c>
      <c r="B17" s="4" t="str">
        <f>'Dati'!B16</f>
        <v>s</v>
      </c>
      <c r="C17" s="4">
        <f>'Dati'!C16</f>
        <v>35</v>
      </c>
      <c r="D17" s="4" t="str">
        <f>'Dati'!D16</f>
        <v>īrē</v>
      </c>
      <c r="E17" s="4">
        <f>'Dati'!E16</f>
        <v>1</v>
      </c>
      <c r="F17" s="4">
        <f>'Dati'!F16</f>
        <v>60600</v>
      </c>
      <c r="G17" s="4">
        <f>'Dati'!G16</f>
        <v>1</v>
      </c>
    </row>
    <row r="20" spans="1:9" ht="34" customHeight="1">
      <c r="A20" s="1" t="s">
        <v>62</v>
      </c>
      <c r="B20" s="1" t="s">
        <v>63</v>
      </c>
      <c r="C20" s="1" t="s">
        <v>64</v>
      </c>
      <c r="D20" s="1" t="s">
        <v>65</v>
      </c>
    </row>
    <row r="21" spans="1:9" ht="24" customHeight="1">
      <c r="A21" s="6" t="s">
        <v>24</v>
      </c>
      <c r="B21" s="7">
        <f>I34</f>
        <v>7.0</v>
      </c>
      <c r="C21" s="6">
        <v>5</v>
      </c>
      <c r="D21" s="6" t="s">
        <v>77</v>
      </c>
    </row>
    <row r="22" spans="1:9" ht="24" customHeight="1">
      <c r="A22" s="3" t="s">
        <v>25</v>
      </c>
      <c r="B22" s="8">
        <f>I41</f>
        <v>1.5555555555555556</v>
      </c>
      <c r="C22" s="4">
        <v>2</v>
      </c>
      <c r="D22" s="4" t="s">
        <v>79</v>
      </c>
    </row>
    <row r="23" spans="1:9" ht="24" customHeight="1">
      <c r="A23" s="3" t="s">
        <v>26</v>
      </c>
      <c r="B23" s="8">
        <f>I50</f>
        <v>1.5555555555555556</v>
      </c>
      <c r="C23" s="4">
        <v>4</v>
      </c>
      <c r="D23" s="4" t="s">
        <v>79</v>
      </c>
    </row>
    <row r="24" spans="1:9" ht="24" customHeight="1">
      <c r="A24" s="3" t="s">
        <v>27</v>
      </c>
      <c r="B24" s="8">
        <f>I59</f>
        <v>1.5555555555555556</v>
      </c>
      <c r="C24" s="4">
        <v>4</v>
      </c>
      <c r="D24" s="4" t="s">
        <v>79</v>
      </c>
    </row>
    <row r="27" spans="1:9" ht="34" customHeight="1">
      <c r="A27" s="6" t="s">
        <v>24</v>
      </c>
      <c r="B27" s="6" t="s">
        <v>66</v>
      </c>
    </row>
    <row r="28" spans="1:9" ht="34" customHeight="1">
      <c r="A28" s="1" t="s">
        <v>67</v>
      </c>
      <c r="B28" s="1" t="s">
        <v>68</v>
      </c>
      <c r="C28" s="1" t="s">
        <v>69</v>
      </c>
      <c r="D28" s="1" t="s">
        <v>70</v>
      </c>
      <c r="E28" s="1" t="s">
        <v>71</v>
      </c>
      <c r="F28" s="1" t="s">
        <v>72</v>
      </c>
      <c r="G28" s="1" t="s">
        <v>73</v>
      </c>
      <c r="H28" s="1" t="s">
        <v>74</v>
      </c>
      <c r="I28" s="1" t="s">
        <v>75</v>
      </c>
    </row>
    <row r="29" spans="1:9" ht="24" customHeight="1">
      <c r="A29" s="4">
        <v>25</v>
      </c>
      <c r="B29" s="4">
        <f>COUNTIFS($C$11:$C$17,$A29,$G$11:$G$17,0)</f>
        <v>1</v>
      </c>
      <c r="C29" s="4">
        <f>COUNTIFS($C$11:$C$17,$A29,$G$11:$G$17,1)</f>
        <v>0</v>
      </c>
      <c r="D29" s="4">
        <f>SUM(B29:C29)</f>
        <v>1</v>
      </c>
      <c r="E29" s="8">
        <f>D29*$B$6/$B$5</f>
        <v>0.14285714285714285</v>
      </c>
      <c r="F29" s="8">
        <f>D29*$B$7/$B$5</f>
        <v>0.8571428571428571</v>
      </c>
      <c r="G29" s="8">
        <f>(B29-E29)^2/E29</f>
        <v>5.142857142857143</v>
      </c>
      <c r="H29" s="8">
        <f>(C29-F29)^2/F29</f>
        <v>0.8571428571428571</v>
      </c>
      <c r="I29" s="8">
        <f>SUM(G29:H29)</f>
        <v>6.0</v>
      </c>
    </row>
    <row r="30" spans="1:9" ht="24" customHeight="1">
      <c r="A30" s="4">
        <v>29</v>
      </c>
      <c r="B30" s="4">
        <f>COUNTIFS($C$11:$C$17,$A30,$G$11:$G$17,0)</f>
        <v>0</v>
      </c>
      <c r="C30" s="4">
        <f>COUNTIFS($C$11:$C$17,$A30,$G$11:$G$17,1)</f>
        <v>1</v>
      </c>
      <c r="D30" s="4">
        <f>SUM(B30:C30)</f>
        <v>1</v>
      </c>
      <c r="E30" s="8">
        <f>D30*$B$6/$B$5</f>
        <v>0.14285714285714285</v>
      </c>
      <c r="F30" s="8">
        <f>D30*$B$7/$B$5</f>
        <v>0.8571428571428571</v>
      </c>
      <c r="G30" s="8">
        <f>(B30-E30)^2/E30</f>
        <v>0.14285714285714285</v>
      </c>
      <c r="H30" s="8">
        <f>(C30-F30)^2/F30</f>
        <v>0.023809523809523808</v>
      </c>
      <c r="I30" s="8">
        <f>SUM(G30:H30)</f>
        <v>0.16666666666666666</v>
      </c>
    </row>
    <row r="31" spans="1:9" ht="24" customHeight="1">
      <c r="A31" s="4">
        <v>35</v>
      </c>
      <c r="B31" s="4">
        <f>COUNTIFS($C$11:$C$17,$A31,$G$11:$G$17,0)</f>
        <v>0</v>
      </c>
      <c r="C31" s="4">
        <f>COUNTIFS($C$11:$C$17,$A31,$G$11:$G$17,1)</f>
        <v>1</v>
      </c>
      <c r="D31" s="4">
        <f>SUM(B31:C31)</f>
        <v>1</v>
      </c>
      <c r="E31" s="8">
        <f>D31*$B$6/$B$5</f>
        <v>0.14285714285714285</v>
      </c>
      <c r="F31" s="8">
        <f>D31*$B$7/$B$5</f>
        <v>0.8571428571428571</v>
      </c>
      <c r="G31" s="8">
        <f>(B31-E31)^2/E31</f>
        <v>0.14285714285714285</v>
      </c>
      <c r="H31" s="8">
        <f>(C31-F31)^2/F31</f>
        <v>0.023809523809523808</v>
      </c>
      <c r="I31" s="8">
        <f>SUM(G31:H31)</f>
        <v>0.16666666666666666</v>
      </c>
    </row>
    <row r="32" spans="1:9" ht="24" customHeight="1">
      <c r="A32" s="4">
        <v>40</v>
      </c>
      <c r="B32" s="4">
        <f>COUNTIFS($C$11:$C$17,$A32,$G$11:$G$17,0)</f>
        <v>0</v>
      </c>
      <c r="C32" s="4">
        <f>COUNTIFS($C$11:$C$17,$A32,$G$11:$G$17,1)</f>
        <v>2</v>
      </c>
      <c r="D32" s="4">
        <f>SUM(B32:C32)</f>
        <v>2</v>
      </c>
      <c r="E32" s="8">
        <f>D32*$B$6/$B$5</f>
        <v>0.2857142857142857</v>
      </c>
      <c r="F32" s="8">
        <f>D32*$B$7/$B$5</f>
        <v>1.7142857142857142</v>
      </c>
      <c r="G32" s="8">
        <f>(B32-E32)^2/E32</f>
        <v>0.2857142857142857</v>
      </c>
      <c r="H32" s="8">
        <f>(C32-F32)^2/F32</f>
        <v>0.047619047619047616</v>
      </c>
      <c r="I32" s="8">
        <f>SUM(G32:H32)</f>
        <v>0.3333333333333333</v>
      </c>
    </row>
    <row r="33" spans="1:9" ht="24" customHeight="1">
      <c r="A33" s="4">
        <v>48</v>
      </c>
      <c r="B33" s="4">
        <f>COUNTIFS($C$11:$C$17,$A33,$G$11:$G$17,0)</f>
        <v>0</v>
      </c>
      <c r="C33" s="4">
        <f>COUNTIFS($C$11:$C$17,$A33,$G$11:$G$17,1)</f>
        <v>2</v>
      </c>
      <c r="D33" s="4">
        <f>SUM(B33:C33)</f>
        <v>2</v>
      </c>
      <c r="E33" s="8">
        <f>D33*$B$6/$B$5</f>
        <v>0.2857142857142857</v>
      </c>
      <c r="F33" s="8">
        <f>D33*$B$7/$B$5</f>
        <v>1.7142857142857142</v>
      </c>
      <c r="G33" s="8">
        <f>(B33-E33)^2/E33</f>
        <v>0.2857142857142857</v>
      </c>
      <c r="H33" s="8">
        <f>(C33-F33)^2/F33</f>
        <v>0.047619047619047616</v>
      </c>
      <c r="I33" s="8">
        <f>SUM(G33:H33)</f>
        <v>0.3333333333333333</v>
      </c>
    </row>
    <row r="34" spans="1:9" ht="24" customHeight="1">
      <c r="A34" s="6" t="s">
        <v>76</v>
      </c>
      <c r="I34" s="7">
        <f>SUM(I29:I33)</f>
        <v>7.0</v>
      </c>
    </row>
    <row r="37" spans="1:9" ht="34" customHeight="1">
      <c r="A37" s="2" t="s">
        <v>25</v>
      </c>
      <c r="B37" s="2" t="s">
        <v>78</v>
      </c>
    </row>
    <row r="38" spans="1:9" ht="34" customHeight="1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74</v>
      </c>
      <c r="I38" s="1" t="s">
        <v>75</v>
      </c>
    </row>
    <row r="39" spans="1:9" ht="24" customHeight="1">
      <c r="A39" s="4" t="s">
        <v>31</v>
      </c>
      <c r="B39" s="4">
        <f>COUNTIFS($D$11:$D$17,$A39,$G$11:$G$17,0)</f>
        <v>1</v>
      </c>
      <c r="C39" s="4">
        <f>COUNTIFS($D$11:$D$17,$A39,$G$11:$G$17,1)</f>
        <v>2</v>
      </c>
      <c r="D39" s="4">
        <f>SUM(B39:C39)</f>
        <v>3</v>
      </c>
      <c r="E39" s="8">
        <f>D39*$B$6/$B$5</f>
        <v>0.42857142857142855</v>
      </c>
      <c r="F39" s="8">
        <f>D39*$B$7/$B$5</f>
        <v>2.5714285714285716</v>
      </c>
      <c r="G39" s="8">
        <f>(B39-E39)^2/E39</f>
        <v>0.7619047619047619</v>
      </c>
      <c r="H39" s="8">
        <f>(C39-F39)^2/F39</f>
        <v>0.12698412698412698</v>
      </c>
      <c r="I39" s="8">
        <f>SUM(G39:H39)</f>
        <v>0.8888888888888888</v>
      </c>
    </row>
    <row r="40" spans="1:9" ht="24" customHeight="1">
      <c r="A40" s="4" t="s">
        <v>30</v>
      </c>
      <c r="B40" s="4">
        <f>COUNTIFS($D$11:$D$17,$A40,$G$11:$G$17,0)</f>
        <v>0</v>
      </c>
      <c r="C40" s="4">
        <f>COUNTIFS($D$11:$D$17,$A40,$G$11:$G$17,1)</f>
        <v>4</v>
      </c>
      <c r="D40" s="4">
        <f>SUM(B40:C40)</f>
        <v>4</v>
      </c>
      <c r="E40" s="8">
        <f>D40*$B$6/$B$5</f>
        <v>0.5714285714285714</v>
      </c>
      <c r="F40" s="8">
        <f>D40*$B$7/$B$5</f>
        <v>3.4285714285714284</v>
      </c>
      <c r="G40" s="8">
        <f>(B40-E40)^2/E40</f>
        <v>0.5714285714285714</v>
      </c>
      <c r="H40" s="8">
        <f>(C40-F40)^2/F40</f>
        <v>0.09523809523809523</v>
      </c>
      <c r="I40" s="8">
        <f>SUM(G40:H40)</f>
        <v>0.6666666666666666</v>
      </c>
    </row>
    <row r="41" spans="1:9" ht="24" customHeight="1">
      <c r="A41" s="2" t="s">
        <v>76</v>
      </c>
      <c r="I41" s="8">
        <f>SUM(I39:I40)</f>
        <v>1.5555555555555556</v>
      </c>
    </row>
    <row r="44" spans="1:9" ht="34" customHeight="1">
      <c r="A44" s="2" t="s">
        <v>26</v>
      </c>
      <c r="B44" s="2" t="s">
        <v>78</v>
      </c>
    </row>
    <row r="45" spans="1:9" ht="34" customHeight="1">
      <c r="A45" s="1" t="s">
        <v>67</v>
      </c>
      <c r="B45" s="1" t="s">
        <v>68</v>
      </c>
      <c r="C45" s="1" t="s">
        <v>69</v>
      </c>
      <c r="D45" s="1" t="s">
        <v>70</v>
      </c>
      <c r="E45" s="1" t="s">
        <v>71</v>
      </c>
      <c r="F45" s="1" t="s">
        <v>72</v>
      </c>
      <c r="G45" s="1" t="s">
        <v>73</v>
      </c>
      <c r="H45" s="1" t="s">
        <v>74</v>
      </c>
      <c r="I45" s="1" t="s">
        <v>75</v>
      </c>
    </row>
    <row r="46" spans="1:9" ht="24" customHeight="1">
      <c r="A46" s="4">
        <v>0</v>
      </c>
      <c r="B46" s="4">
        <f>COUNTIFS($E$11:$E$17,$A46,$G$11:$G$17,0)</f>
        <v>0</v>
      </c>
      <c r="C46" s="4">
        <f>COUNTIFS($E$11:$E$17,$A46,$G$11:$G$17,1)</f>
        <v>1</v>
      </c>
      <c r="D46" s="4">
        <f>SUM(B46:C46)</f>
        <v>1</v>
      </c>
      <c r="E46" s="8">
        <f>D46*$B$6/$B$5</f>
        <v>0.14285714285714285</v>
      </c>
      <c r="F46" s="8">
        <f>D46*$B$7/$B$5</f>
        <v>0.8571428571428571</v>
      </c>
      <c r="G46" s="8">
        <f>(B46-E46)^2/E46</f>
        <v>0.14285714285714285</v>
      </c>
      <c r="H46" s="8">
        <f>(C46-F46)^2/F46</f>
        <v>0.023809523809523808</v>
      </c>
      <c r="I46" s="8">
        <f>SUM(G46:H46)</f>
        <v>0.16666666666666666</v>
      </c>
    </row>
    <row r="47" spans="1:9" ht="24" customHeight="1">
      <c r="A47" s="4">
        <v>1</v>
      </c>
      <c r="B47" s="4">
        <f>COUNTIFS($E$11:$E$17,$A47,$G$11:$G$17,0)</f>
        <v>0</v>
      </c>
      <c r="C47" s="4">
        <f>COUNTIFS($E$11:$E$17,$A47,$G$11:$G$17,1)</f>
        <v>2</v>
      </c>
      <c r="D47" s="4">
        <f>SUM(B47:C47)</f>
        <v>2</v>
      </c>
      <c r="E47" s="8">
        <f>D47*$B$6/$B$5</f>
        <v>0.2857142857142857</v>
      </c>
      <c r="F47" s="8">
        <f>D47*$B$7/$B$5</f>
        <v>1.7142857142857142</v>
      </c>
      <c r="G47" s="8">
        <f>(B47-E47)^2/E47</f>
        <v>0.2857142857142857</v>
      </c>
      <c r="H47" s="8">
        <f>(C47-F47)^2/F47</f>
        <v>0.047619047619047616</v>
      </c>
      <c r="I47" s="8">
        <f>SUM(G47:H47)</f>
        <v>0.3333333333333333</v>
      </c>
    </row>
    <row r="48" spans="1:9" ht="24" customHeight="1">
      <c r="A48" s="4">
        <v>2</v>
      </c>
      <c r="B48" s="4">
        <f>COUNTIFS($E$11:$E$17,$A48,$G$11:$G$17,0)</f>
        <v>1</v>
      </c>
      <c r="C48" s="4">
        <f>COUNTIFS($E$11:$E$17,$A48,$G$11:$G$17,1)</f>
        <v>2</v>
      </c>
      <c r="D48" s="4">
        <f>SUM(B48:C48)</f>
        <v>3</v>
      </c>
      <c r="E48" s="8">
        <f>D48*$B$6/$B$5</f>
        <v>0.42857142857142855</v>
      </c>
      <c r="F48" s="8">
        <f>D48*$B$7/$B$5</f>
        <v>2.5714285714285716</v>
      </c>
      <c r="G48" s="8">
        <f>(B48-E48)^2/E48</f>
        <v>0.7619047619047619</v>
      </c>
      <c r="H48" s="8">
        <f>(C48-F48)^2/F48</f>
        <v>0.12698412698412698</v>
      </c>
      <c r="I48" s="8">
        <f>SUM(G48:H48)</f>
        <v>0.8888888888888888</v>
      </c>
    </row>
    <row r="49" spans="1:9" ht="24" customHeight="1">
      <c r="A49" s="4">
        <v>3</v>
      </c>
      <c r="B49" s="4">
        <f>COUNTIFS($E$11:$E$17,$A49,$G$11:$G$17,0)</f>
        <v>0</v>
      </c>
      <c r="C49" s="4">
        <f>COUNTIFS($E$11:$E$17,$A49,$G$11:$G$17,1)</f>
        <v>1</v>
      </c>
      <c r="D49" s="4">
        <f>SUM(B49:C49)</f>
        <v>1</v>
      </c>
      <c r="E49" s="8">
        <f>D49*$B$6/$B$5</f>
        <v>0.14285714285714285</v>
      </c>
      <c r="F49" s="8">
        <f>D49*$B$7/$B$5</f>
        <v>0.8571428571428571</v>
      </c>
      <c r="G49" s="8">
        <f>(B49-E49)^2/E49</f>
        <v>0.14285714285714285</v>
      </c>
      <c r="H49" s="8">
        <f>(C49-F49)^2/F49</f>
        <v>0.023809523809523808</v>
      </c>
      <c r="I49" s="8">
        <f>SUM(G49:H49)</f>
        <v>0.16666666666666666</v>
      </c>
    </row>
    <row r="50" spans="1:9" ht="24" customHeight="1">
      <c r="A50" s="2" t="s">
        <v>76</v>
      </c>
      <c r="I50" s="8">
        <f>SUM(I46:I49)</f>
        <v>1.5555555555555556</v>
      </c>
    </row>
    <row r="53" spans="1:9" ht="34" customHeight="1">
      <c r="A53" s="2" t="s">
        <v>27</v>
      </c>
      <c r="B53" s="2" t="s">
        <v>78</v>
      </c>
    </row>
    <row r="54" spans="1:9" ht="34" customHeight="1">
      <c r="A54" s="1" t="s">
        <v>67</v>
      </c>
      <c r="B54" s="1" t="s">
        <v>68</v>
      </c>
      <c r="C54" s="1" t="s">
        <v>69</v>
      </c>
      <c r="D54" s="1" t="s">
        <v>70</v>
      </c>
      <c r="E54" s="1" t="s">
        <v>71</v>
      </c>
      <c r="F54" s="1" t="s">
        <v>72</v>
      </c>
      <c r="G54" s="1" t="s">
        <v>73</v>
      </c>
      <c r="H54" s="1" t="s">
        <v>74</v>
      </c>
      <c r="I54" s="1" t="s">
        <v>75</v>
      </c>
    </row>
    <row r="55" spans="1:9" ht="24" customHeight="1">
      <c r="A55" s="4">
        <v>60100</v>
      </c>
      <c r="B55" s="4">
        <f>COUNTIFS($F$11:$F$17,$A55,$G$11:$G$17,0)</f>
        <v>0</v>
      </c>
      <c r="C55" s="4">
        <f>COUNTIFS($F$11:$F$17,$A55,$G$11:$G$17,1)</f>
        <v>1</v>
      </c>
      <c r="D55" s="4">
        <f>SUM(B55:C55)</f>
        <v>1</v>
      </c>
      <c r="E55" s="8">
        <f>D55*$B$6/$B$5</f>
        <v>0.14285714285714285</v>
      </c>
      <c r="F55" s="8">
        <f>D55*$B$7/$B$5</f>
        <v>0.8571428571428571</v>
      </c>
      <c r="G55" s="8">
        <f>(B55-E55)^2/E55</f>
        <v>0.14285714285714285</v>
      </c>
      <c r="H55" s="8">
        <f>(C55-F55)^2/F55</f>
        <v>0.023809523809523808</v>
      </c>
      <c r="I55" s="8">
        <f>SUM(G55:H55)</f>
        <v>0.16666666666666666</v>
      </c>
    </row>
    <row r="56" spans="1:9" ht="24" customHeight="1">
      <c r="A56" s="4">
        <v>60600</v>
      </c>
      <c r="B56" s="4">
        <f>COUNTIFS($F$11:$F$17,$A56,$G$11:$G$17,0)</f>
        <v>1</v>
      </c>
      <c r="C56" s="4">
        <f>COUNTIFS($F$11:$F$17,$A56,$G$11:$G$17,1)</f>
        <v>2</v>
      </c>
      <c r="D56" s="4">
        <f>SUM(B56:C56)</f>
        <v>3</v>
      </c>
      <c r="E56" s="8">
        <f>D56*$B$6/$B$5</f>
        <v>0.42857142857142855</v>
      </c>
      <c r="F56" s="8">
        <f>D56*$B$7/$B$5</f>
        <v>2.5714285714285716</v>
      </c>
      <c r="G56" s="8">
        <f>(B56-E56)^2/E56</f>
        <v>0.7619047619047619</v>
      </c>
      <c r="H56" s="8">
        <f>(C56-F56)^2/F56</f>
        <v>0.12698412698412698</v>
      </c>
      <c r="I56" s="8">
        <f>SUM(G56:H56)</f>
        <v>0.8888888888888888</v>
      </c>
    </row>
    <row r="57" spans="1:9" ht="24" customHeight="1">
      <c r="A57" s="4">
        <v>65000</v>
      </c>
      <c r="B57" s="4">
        <f>COUNTIFS($F$11:$F$17,$A57,$G$11:$G$17,0)</f>
        <v>0</v>
      </c>
      <c r="C57" s="4">
        <f>COUNTIFS($F$11:$F$17,$A57,$G$11:$G$17,1)</f>
        <v>2</v>
      </c>
      <c r="D57" s="4">
        <f>SUM(B57:C57)</f>
        <v>2</v>
      </c>
      <c r="E57" s="8">
        <f>D57*$B$6/$B$5</f>
        <v>0.2857142857142857</v>
      </c>
      <c r="F57" s="8">
        <f>D57*$B$7/$B$5</f>
        <v>1.7142857142857142</v>
      </c>
      <c r="G57" s="8">
        <f>(B57-E57)^2/E57</f>
        <v>0.2857142857142857</v>
      </c>
      <c r="H57" s="8">
        <f>(C57-F57)^2/F57</f>
        <v>0.047619047619047616</v>
      </c>
      <c r="I57" s="8">
        <f>SUM(G57:H57)</f>
        <v>0.3333333333333333</v>
      </c>
    </row>
    <row r="58" spans="1:9" ht="24" customHeight="1">
      <c r="A58" s="4">
        <v>87000</v>
      </c>
      <c r="B58" s="4">
        <f>COUNTIFS($F$11:$F$17,$A58,$G$11:$G$17,0)</f>
        <v>0</v>
      </c>
      <c r="C58" s="4">
        <f>COUNTIFS($F$11:$F$17,$A58,$G$11:$G$17,1)</f>
        <v>1</v>
      </c>
      <c r="D58" s="4">
        <f>SUM(B58:C58)</f>
        <v>1</v>
      </c>
      <c r="E58" s="8">
        <f>D58*$B$6/$B$5</f>
        <v>0.14285714285714285</v>
      </c>
      <c r="F58" s="8">
        <f>D58*$B$7/$B$5</f>
        <v>0.8571428571428571</v>
      </c>
      <c r="G58" s="8">
        <f>(B58-E58)^2/E58</f>
        <v>0.14285714285714285</v>
      </c>
      <c r="H58" s="8">
        <f>(C58-F58)^2/F58</f>
        <v>0.023809523809523808</v>
      </c>
      <c r="I58" s="8">
        <f>SUM(G58:H58)</f>
        <v>0.16666666666666666</v>
      </c>
    </row>
    <row r="59" spans="1:9" ht="24" customHeight="1">
      <c r="A59" s="2" t="s">
        <v>76</v>
      </c>
      <c r="I59" s="8">
        <f>SUM(I55:I58)</f>
        <v>1.5555555555555556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6"/>
  <sheetViews>
    <sheetView showGridLines="1" view="normal" zoomScale="90" zoomScaleNormal="9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24" customHeight="1"/>
  <cols>
    <col min="1" max="1" width="24.7109375" customWidth="1"/>
    <col min="2" max="2" width="18.7109375" customWidth="1"/>
    <col min="3" max="3" width="14.7109375" customWidth="1"/>
    <col min="4" max="4" width="11.7109375" customWidth="1"/>
    <col min="5" max="6" width="15.7109375" customWidth="1"/>
    <col min="7" max="8" width="19.7109375" customWidth="1"/>
    <col min="9" max="9" width="15.7109375" customWidth="1"/>
  </cols>
  <sheetData>
    <row r="1" spans="1:7" ht="24" customHeight="1">
      <c r="A1" s="5" t="s">
        <v>83</v>
      </c>
      <c r="B1" s="5" t="s">
        <v>84</v>
      </c>
    </row>
    <row r="2" spans="1:7" ht="48" customHeight="1">
      <c r="A2" s="2" t="s">
        <v>55</v>
      </c>
      <c r="B2" s="3" t="s">
        <v>85</v>
      </c>
    </row>
    <row r="3" spans="1:7" ht="34" customHeight="1">
      <c r="A3" s="2" t="s">
        <v>57</v>
      </c>
      <c r="B3" s="6" t="s">
        <v>25</v>
      </c>
    </row>
    <row r="5" spans="1:7" ht="24" customHeight="1">
      <c r="A5" s="2" t="s">
        <v>58</v>
      </c>
      <c r="B5" s="4">
        <f>COUNTA($A$11:$A$18)</f>
        <v>8</v>
      </c>
    </row>
    <row r="6" spans="1:7" ht="24" customHeight="1">
      <c r="A6" s="2" t="s">
        <v>59</v>
      </c>
      <c r="B6" s="4">
        <f>COUNTIF($G$11:$G$18,0)</f>
        <v>7</v>
      </c>
    </row>
    <row r="7" spans="1:7" ht="24" customHeight="1">
      <c r="A7" s="2" t="s">
        <v>60</v>
      </c>
      <c r="B7" s="4">
        <f>COUNTIF($G$11:$G$18,1)</f>
        <v>1</v>
      </c>
    </row>
    <row r="9" spans="1:7" ht="24" customHeight="1">
      <c r="A9" s="2" t="s">
        <v>61</v>
      </c>
    </row>
    <row r="10" spans="1:7" ht="34" customHeight="1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</row>
    <row r="11" spans="1:7" ht="24" customHeight="1">
      <c r="A11" s="4">
        <f>'Dati'!A2</f>
        <v>1</v>
      </c>
      <c r="B11" s="4" t="str">
        <f>'Dati'!B2</f>
        <v>v</v>
      </c>
      <c r="C11" s="4">
        <f>'Dati'!C2</f>
        <v>29</v>
      </c>
      <c r="D11" s="4" t="str">
        <f>'Dati'!D2</f>
        <v>īrē</v>
      </c>
      <c r="E11" s="4">
        <f>'Dati'!E2</f>
        <v>1</v>
      </c>
      <c r="F11" s="4">
        <f>'Dati'!F2</f>
        <v>60100</v>
      </c>
      <c r="G11" s="4">
        <f>'Dati'!G2</f>
        <v>0</v>
      </c>
    </row>
    <row r="12" spans="1:7" ht="24" customHeight="1">
      <c r="A12" s="4">
        <f>'Dati'!A3</f>
        <v>2</v>
      </c>
      <c r="B12" s="4" t="str">
        <f>'Dati'!B3</f>
        <v>v</v>
      </c>
      <c r="C12" s="4">
        <f>'Dati'!C3</f>
        <v>35</v>
      </c>
      <c r="D12" s="4" t="str">
        <f>'Dati'!D3</f>
        <v>īpašnieks</v>
      </c>
      <c r="E12" s="4">
        <f>'Dati'!E3</f>
        <v>2</v>
      </c>
      <c r="F12" s="4">
        <f>'Dati'!F3</f>
        <v>87000</v>
      </c>
      <c r="G12" s="4">
        <f>'Dati'!G3</f>
        <v>0</v>
      </c>
    </row>
    <row r="13" spans="1:7" ht="24" customHeight="1">
      <c r="A13" s="4">
        <f>'Dati'!A6</f>
        <v>5</v>
      </c>
      <c r="B13" s="4" t="str">
        <f>'Dati'!B6</f>
        <v>v</v>
      </c>
      <c r="C13" s="4">
        <f>'Dati'!C6</f>
        <v>40</v>
      </c>
      <c r="D13" s="4" t="str">
        <f>'Dati'!D6</f>
        <v>īrē</v>
      </c>
      <c r="E13" s="4">
        <f>'Dati'!E6</f>
        <v>4</v>
      </c>
      <c r="F13" s="4">
        <f>'Dati'!F6</f>
        <v>60100</v>
      </c>
      <c r="G13" s="4">
        <f>'Dati'!G6</f>
        <v>0</v>
      </c>
    </row>
    <row r="14" spans="1:7" ht="24" customHeight="1">
      <c r="A14" s="4">
        <f>'Dati'!A7</f>
        <v>6</v>
      </c>
      <c r="B14" s="4" t="str">
        <f>'Dati'!B7</f>
        <v>v</v>
      </c>
      <c r="C14" s="4">
        <f>'Dati'!C7</f>
        <v>35</v>
      </c>
      <c r="D14" s="4" t="str">
        <f>'Dati'!D7</f>
        <v>īrē</v>
      </c>
      <c r="E14" s="4">
        <f>'Dati'!E7</f>
        <v>1</v>
      </c>
      <c r="F14" s="4">
        <f>'Dati'!F7</f>
        <v>80300</v>
      </c>
      <c r="G14" s="4">
        <f>'Dati'!G7</f>
        <v>0</v>
      </c>
    </row>
    <row r="15" spans="1:7" ht="24" customHeight="1">
      <c r="A15" s="4">
        <f>'Dati'!A9</f>
        <v>8</v>
      </c>
      <c r="B15" s="4" t="str">
        <f>'Dati'!B9</f>
        <v>v</v>
      </c>
      <c r="C15" s="4">
        <f>'Dati'!C9</f>
        <v>40</v>
      </c>
      <c r="D15" s="4" t="str">
        <f>'Dati'!D9</f>
        <v>īrē</v>
      </c>
      <c r="E15" s="4">
        <f>'Dati'!E9</f>
        <v>2</v>
      </c>
      <c r="F15" s="4">
        <f>'Dati'!F9</f>
        <v>80300</v>
      </c>
      <c r="G15" s="4">
        <f>'Dati'!G9</f>
        <v>0</v>
      </c>
    </row>
    <row r="16" spans="1:7" ht="24" customHeight="1">
      <c r="A16" s="4">
        <f>'Dati'!A10</f>
        <v>9</v>
      </c>
      <c r="B16" s="4" t="str">
        <f>'Dati'!B10</f>
        <v>v</v>
      </c>
      <c r="C16" s="4">
        <f>'Dati'!C10</f>
        <v>35</v>
      </c>
      <c r="D16" s="4" t="str">
        <f>'Dati'!D10</f>
        <v>īpašnieks</v>
      </c>
      <c r="E16" s="4">
        <f>'Dati'!E10</f>
        <v>1</v>
      </c>
      <c r="F16" s="4">
        <f>'Dati'!F10</f>
        <v>60100</v>
      </c>
      <c r="G16" s="4">
        <f>'Dati'!G10</f>
        <v>0</v>
      </c>
    </row>
    <row r="17" spans="1:9" ht="24" customHeight="1">
      <c r="A17" s="4">
        <f>'Dati'!A13</f>
        <v>12</v>
      </c>
      <c r="B17" s="4" t="str">
        <f>'Dati'!B13</f>
        <v>v</v>
      </c>
      <c r="C17" s="4">
        <f>'Dati'!C13</f>
        <v>29</v>
      </c>
      <c r="D17" s="4" t="str">
        <f>'Dati'!D13</f>
        <v>īrē</v>
      </c>
      <c r="E17" s="4">
        <f>'Dati'!E13</f>
        <v>4</v>
      </c>
      <c r="F17" s="4">
        <f>'Dati'!F13</f>
        <v>87000</v>
      </c>
      <c r="G17" s="4">
        <f>'Dati'!G13</f>
        <v>0</v>
      </c>
    </row>
    <row r="18" spans="1:9" ht="24" customHeight="1">
      <c r="A18" s="4">
        <f>'Dati'!A14</f>
        <v>13</v>
      </c>
      <c r="B18" s="4" t="str">
        <f>'Dati'!B14</f>
        <v>v</v>
      </c>
      <c r="C18" s="4">
        <f>'Dati'!C14</f>
        <v>40</v>
      </c>
      <c r="D18" s="4" t="str">
        <f>'Dati'!D14</f>
        <v>īpašnieks</v>
      </c>
      <c r="E18" s="4">
        <f>'Dati'!E14</f>
        <v>4</v>
      </c>
      <c r="F18" s="4">
        <f>'Dati'!F14</f>
        <v>87000</v>
      </c>
      <c r="G18" s="4">
        <f>'Dati'!G14</f>
        <v>1</v>
      </c>
    </row>
    <row r="21" spans="1:9" ht="34" customHeight="1">
      <c r="A21" s="1" t="s">
        <v>62</v>
      </c>
      <c r="B21" s="1" t="s">
        <v>63</v>
      </c>
      <c r="C21" s="1" t="s">
        <v>64</v>
      </c>
      <c r="D21" s="1" t="s">
        <v>65</v>
      </c>
    </row>
    <row r="22" spans="1:9" ht="24" customHeight="1">
      <c r="A22" s="3" t="s">
        <v>24</v>
      </c>
      <c r="B22" s="8">
        <f>I33</f>
        <v>1.9047619047619047</v>
      </c>
      <c r="C22" s="4">
        <v>3</v>
      </c>
      <c r="D22" s="4" t="s">
        <v>79</v>
      </c>
    </row>
    <row r="23" spans="1:9" ht="24" customHeight="1">
      <c r="A23" s="6" t="s">
        <v>25</v>
      </c>
      <c r="B23" s="7">
        <f>I40</f>
        <v>1.9047619047619047</v>
      </c>
      <c r="C23" s="6">
        <v>2</v>
      </c>
      <c r="D23" s="6" t="s">
        <v>77</v>
      </c>
    </row>
    <row r="24" spans="1:9" ht="24" customHeight="1">
      <c r="A24" s="3" t="s">
        <v>26</v>
      </c>
      <c r="B24" s="8">
        <f>I48</f>
        <v>1.9047619047619047</v>
      </c>
      <c r="C24" s="4">
        <v>3</v>
      </c>
      <c r="D24" s="4" t="s">
        <v>79</v>
      </c>
    </row>
    <row r="25" spans="1:9" ht="24" customHeight="1">
      <c r="A25" s="3" t="s">
        <v>27</v>
      </c>
      <c r="B25" s="8">
        <f>I56</f>
        <v>1.9047619047619047</v>
      </c>
      <c r="C25" s="4">
        <v>3</v>
      </c>
      <c r="D25" s="4" t="s">
        <v>79</v>
      </c>
    </row>
    <row r="28" spans="1:9" ht="34" customHeight="1">
      <c r="A28" s="2" t="s">
        <v>24</v>
      </c>
      <c r="B28" s="2" t="s">
        <v>78</v>
      </c>
    </row>
    <row r="29" spans="1:9" ht="34" customHeight="1">
      <c r="A29" s="1" t="s">
        <v>67</v>
      </c>
      <c r="B29" s="1" t="s">
        <v>68</v>
      </c>
      <c r="C29" s="1" t="s">
        <v>69</v>
      </c>
      <c r="D29" s="1" t="s">
        <v>70</v>
      </c>
      <c r="E29" s="1" t="s">
        <v>71</v>
      </c>
      <c r="F29" s="1" t="s">
        <v>72</v>
      </c>
      <c r="G29" s="1" t="s">
        <v>73</v>
      </c>
      <c r="H29" s="1" t="s">
        <v>74</v>
      </c>
      <c r="I29" s="1" t="s">
        <v>75</v>
      </c>
    </row>
    <row r="30" spans="1:9" ht="24" customHeight="1">
      <c r="A30" s="4">
        <v>29</v>
      </c>
      <c r="B30" s="4">
        <f>COUNTIFS($C$11:$C$18,$A30,$G$11:$G$18,0)</f>
        <v>2</v>
      </c>
      <c r="C30" s="4">
        <f>COUNTIFS($C$11:$C$18,$A30,$G$11:$G$18,1)</f>
        <v>0</v>
      </c>
      <c r="D30" s="4">
        <f>SUM(B30:C30)</f>
        <v>2</v>
      </c>
      <c r="E30" s="8">
        <f>D30*$B$6/$B$5</f>
        <v>1.75</v>
      </c>
      <c r="F30" s="8">
        <f>D30*$B$7/$B$5</f>
        <v>0.25</v>
      </c>
      <c r="G30" s="8">
        <f>(B30-E30)^2/E30</f>
        <v>0.03571428571428571</v>
      </c>
      <c r="H30" s="8">
        <f>(C30-F30)^2/F30</f>
        <v>0.25</v>
      </c>
      <c r="I30" s="8">
        <f>SUM(G30:H30)</f>
        <v>0.2857142857142857</v>
      </c>
    </row>
    <row r="31" spans="1:9" ht="24" customHeight="1">
      <c r="A31" s="4">
        <v>35</v>
      </c>
      <c r="B31" s="4">
        <f>COUNTIFS($C$11:$C$18,$A31,$G$11:$G$18,0)</f>
        <v>3</v>
      </c>
      <c r="C31" s="4">
        <f>COUNTIFS($C$11:$C$18,$A31,$G$11:$G$18,1)</f>
        <v>0</v>
      </c>
      <c r="D31" s="4">
        <f>SUM(B31:C31)</f>
        <v>3</v>
      </c>
      <c r="E31" s="8">
        <f>D31*$B$6/$B$5</f>
        <v>2.625</v>
      </c>
      <c r="F31" s="8">
        <f>D31*$B$7/$B$5</f>
        <v>0.375</v>
      </c>
      <c r="G31" s="8">
        <f>(B31-E31)^2/E31</f>
        <v>0.05357142857142857</v>
      </c>
      <c r="H31" s="8">
        <f>(C31-F31)^2/F31</f>
        <v>0.375</v>
      </c>
      <c r="I31" s="8">
        <f>SUM(G31:H31)</f>
        <v>0.42857142857142855</v>
      </c>
    </row>
    <row r="32" spans="1:9" ht="24" customHeight="1">
      <c r="A32" s="4">
        <v>40</v>
      </c>
      <c r="B32" s="4">
        <f>COUNTIFS($C$11:$C$18,$A32,$G$11:$G$18,0)</f>
        <v>2</v>
      </c>
      <c r="C32" s="4">
        <f>COUNTIFS($C$11:$C$18,$A32,$G$11:$G$18,1)</f>
        <v>1</v>
      </c>
      <c r="D32" s="4">
        <f>SUM(B32:C32)</f>
        <v>3</v>
      </c>
      <c r="E32" s="8">
        <f>D32*$B$6/$B$5</f>
        <v>2.625</v>
      </c>
      <c r="F32" s="8">
        <f>D32*$B$7/$B$5</f>
        <v>0.375</v>
      </c>
      <c r="G32" s="8">
        <f>(B32-E32)^2/E32</f>
        <v>0.1488095238095238</v>
      </c>
      <c r="H32" s="8">
        <f>(C32-F32)^2/F32</f>
        <v>1.0416666666666667</v>
      </c>
      <c r="I32" s="8">
        <f>SUM(G32:H32)</f>
        <v>1.1904761904761905</v>
      </c>
    </row>
    <row r="33" spans="1:9" ht="24" customHeight="1">
      <c r="A33" s="2" t="s">
        <v>76</v>
      </c>
      <c r="I33" s="8">
        <f>SUM(I30:I32)</f>
        <v>1.9047619047619047</v>
      </c>
    </row>
    <row r="36" spans="1:9" ht="34" customHeight="1">
      <c r="A36" s="6" t="s">
        <v>25</v>
      </c>
      <c r="B36" s="6" t="s">
        <v>66</v>
      </c>
    </row>
    <row r="37" spans="1:9" ht="34" customHeight="1">
      <c r="A37" s="1" t="s">
        <v>67</v>
      </c>
      <c r="B37" s="1" t="s">
        <v>68</v>
      </c>
      <c r="C37" s="1" t="s">
        <v>69</v>
      </c>
      <c r="D37" s="1" t="s">
        <v>70</v>
      </c>
      <c r="E37" s="1" t="s">
        <v>71</v>
      </c>
      <c r="F37" s="1" t="s">
        <v>72</v>
      </c>
      <c r="G37" s="1" t="s">
        <v>73</v>
      </c>
      <c r="H37" s="1" t="s">
        <v>74</v>
      </c>
      <c r="I37" s="1" t="s">
        <v>75</v>
      </c>
    </row>
    <row r="38" spans="1:9" ht="24" customHeight="1">
      <c r="A38" s="4" t="s">
        <v>31</v>
      </c>
      <c r="B38" s="4">
        <f>COUNTIFS($D$11:$D$18,$A38,$G$11:$G$18,0)</f>
        <v>2</v>
      </c>
      <c r="C38" s="4">
        <f>COUNTIFS($D$11:$D$18,$A38,$G$11:$G$18,1)</f>
        <v>1</v>
      </c>
      <c r="D38" s="4">
        <f>SUM(B38:C38)</f>
        <v>3</v>
      </c>
      <c r="E38" s="8">
        <f>D38*$B$6/$B$5</f>
        <v>2.625</v>
      </c>
      <c r="F38" s="8">
        <f>D38*$B$7/$B$5</f>
        <v>0.375</v>
      </c>
      <c r="G38" s="8">
        <f>(B38-E38)^2/E38</f>
        <v>0.1488095238095238</v>
      </c>
      <c r="H38" s="8">
        <f>(C38-F38)^2/F38</f>
        <v>1.0416666666666667</v>
      </c>
      <c r="I38" s="8">
        <f>SUM(G38:H38)</f>
        <v>1.1904761904761905</v>
      </c>
    </row>
    <row r="39" spans="1:9" ht="24" customHeight="1">
      <c r="A39" s="4" t="s">
        <v>30</v>
      </c>
      <c r="B39" s="4">
        <f>COUNTIFS($D$11:$D$18,$A39,$G$11:$G$18,0)</f>
        <v>5</v>
      </c>
      <c r="C39" s="4">
        <f>COUNTIFS($D$11:$D$18,$A39,$G$11:$G$18,1)</f>
        <v>0</v>
      </c>
      <c r="D39" s="4">
        <f>SUM(B39:C39)</f>
        <v>5</v>
      </c>
      <c r="E39" s="8">
        <f>D39*$B$6/$B$5</f>
        <v>4.375</v>
      </c>
      <c r="F39" s="8">
        <f>D39*$B$7/$B$5</f>
        <v>0.625</v>
      </c>
      <c r="G39" s="8">
        <f>(B39-E39)^2/E39</f>
        <v>0.08928571428571429</v>
      </c>
      <c r="H39" s="8">
        <f>(C39-F39)^2/F39</f>
        <v>0.625</v>
      </c>
      <c r="I39" s="8">
        <f>SUM(G39:H39)</f>
        <v>0.7142857142857143</v>
      </c>
    </row>
    <row r="40" spans="1:9" ht="24" customHeight="1">
      <c r="A40" s="6" t="s">
        <v>76</v>
      </c>
      <c r="I40" s="7">
        <f>SUM(I38:I39)</f>
        <v>1.9047619047619047</v>
      </c>
    </row>
    <row r="43" spans="1:9" ht="34" customHeight="1">
      <c r="A43" s="2" t="s">
        <v>26</v>
      </c>
      <c r="B43" s="2" t="s">
        <v>78</v>
      </c>
    </row>
    <row r="44" spans="1:9" ht="34" customHeight="1">
      <c r="A44" s="1" t="s">
        <v>67</v>
      </c>
      <c r="B44" s="1" t="s">
        <v>68</v>
      </c>
      <c r="C44" s="1" t="s">
        <v>69</v>
      </c>
      <c r="D44" s="1" t="s">
        <v>70</v>
      </c>
      <c r="E44" s="1" t="s">
        <v>71</v>
      </c>
      <c r="F44" s="1" t="s">
        <v>72</v>
      </c>
      <c r="G44" s="1" t="s">
        <v>73</v>
      </c>
      <c r="H44" s="1" t="s">
        <v>74</v>
      </c>
      <c r="I44" s="1" t="s">
        <v>75</v>
      </c>
    </row>
    <row r="45" spans="1:9" ht="24" customHeight="1">
      <c r="A45" s="4">
        <v>1</v>
      </c>
      <c r="B45" s="4">
        <f>COUNTIFS($E$11:$E$18,$A45,$G$11:$G$18,0)</f>
        <v>3</v>
      </c>
      <c r="C45" s="4">
        <f>COUNTIFS($E$11:$E$18,$A45,$G$11:$G$18,1)</f>
        <v>0</v>
      </c>
      <c r="D45" s="4">
        <f>SUM(B45:C45)</f>
        <v>3</v>
      </c>
      <c r="E45" s="8">
        <f>D45*$B$6/$B$5</f>
        <v>2.625</v>
      </c>
      <c r="F45" s="8">
        <f>D45*$B$7/$B$5</f>
        <v>0.375</v>
      </c>
      <c r="G45" s="8">
        <f>(B45-E45)^2/E45</f>
        <v>0.05357142857142857</v>
      </c>
      <c r="H45" s="8">
        <f>(C45-F45)^2/F45</f>
        <v>0.375</v>
      </c>
      <c r="I45" s="8">
        <f>SUM(G45:H45)</f>
        <v>0.42857142857142855</v>
      </c>
    </row>
    <row r="46" spans="1:9" ht="24" customHeight="1">
      <c r="A46" s="4">
        <v>2</v>
      </c>
      <c r="B46" s="4">
        <f>COUNTIFS($E$11:$E$18,$A46,$G$11:$G$18,0)</f>
        <v>2</v>
      </c>
      <c r="C46" s="4">
        <f>COUNTIFS($E$11:$E$18,$A46,$G$11:$G$18,1)</f>
        <v>0</v>
      </c>
      <c r="D46" s="4">
        <f>SUM(B46:C46)</f>
        <v>2</v>
      </c>
      <c r="E46" s="8">
        <f>D46*$B$6/$B$5</f>
        <v>1.75</v>
      </c>
      <c r="F46" s="8">
        <f>D46*$B$7/$B$5</f>
        <v>0.25</v>
      </c>
      <c r="G46" s="8">
        <f>(B46-E46)^2/E46</f>
        <v>0.03571428571428571</v>
      </c>
      <c r="H46" s="8">
        <f>(C46-F46)^2/F46</f>
        <v>0.25</v>
      </c>
      <c r="I46" s="8">
        <f>SUM(G46:H46)</f>
        <v>0.2857142857142857</v>
      </c>
    </row>
    <row r="47" spans="1:9" ht="24" customHeight="1">
      <c r="A47" s="4">
        <v>4</v>
      </c>
      <c r="B47" s="4">
        <f>COUNTIFS($E$11:$E$18,$A47,$G$11:$G$18,0)</f>
        <v>2</v>
      </c>
      <c r="C47" s="4">
        <f>COUNTIFS($E$11:$E$18,$A47,$G$11:$G$18,1)</f>
        <v>1</v>
      </c>
      <c r="D47" s="4">
        <f>SUM(B47:C47)</f>
        <v>3</v>
      </c>
      <c r="E47" s="8">
        <f>D47*$B$6/$B$5</f>
        <v>2.625</v>
      </c>
      <c r="F47" s="8">
        <f>D47*$B$7/$B$5</f>
        <v>0.375</v>
      </c>
      <c r="G47" s="8">
        <f>(B47-E47)^2/E47</f>
        <v>0.1488095238095238</v>
      </c>
      <c r="H47" s="8">
        <f>(C47-F47)^2/F47</f>
        <v>1.0416666666666667</v>
      </c>
      <c r="I47" s="8">
        <f>SUM(G47:H47)</f>
        <v>1.1904761904761905</v>
      </c>
    </row>
    <row r="48" spans="1:9" ht="24" customHeight="1">
      <c r="A48" s="2" t="s">
        <v>76</v>
      </c>
      <c r="I48" s="8">
        <f>SUM(I45:I47)</f>
        <v>1.9047619047619047</v>
      </c>
    </row>
    <row r="51" spans="1:9" ht="34" customHeight="1">
      <c r="A51" s="2" t="s">
        <v>27</v>
      </c>
      <c r="B51" s="2" t="s">
        <v>78</v>
      </c>
    </row>
    <row r="52" spans="1:9" ht="34" customHeight="1">
      <c r="A52" s="1" t="s">
        <v>67</v>
      </c>
      <c r="B52" s="1" t="s">
        <v>68</v>
      </c>
      <c r="C52" s="1" t="s">
        <v>69</v>
      </c>
      <c r="D52" s="1" t="s">
        <v>70</v>
      </c>
      <c r="E52" s="1" t="s">
        <v>71</v>
      </c>
      <c r="F52" s="1" t="s">
        <v>72</v>
      </c>
      <c r="G52" s="1" t="s">
        <v>73</v>
      </c>
      <c r="H52" s="1" t="s">
        <v>74</v>
      </c>
      <c r="I52" s="1" t="s">
        <v>75</v>
      </c>
    </row>
    <row r="53" spans="1:9" ht="24" customHeight="1">
      <c r="A53" s="4">
        <v>60100</v>
      </c>
      <c r="B53" s="4">
        <f>COUNTIFS($F$11:$F$18,$A53,$G$11:$G$18,0)</f>
        <v>3</v>
      </c>
      <c r="C53" s="4">
        <f>COUNTIFS($F$11:$F$18,$A53,$G$11:$G$18,1)</f>
        <v>0</v>
      </c>
      <c r="D53" s="4">
        <f>SUM(B53:C53)</f>
        <v>3</v>
      </c>
      <c r="E53" s="8">
        <f>D53*$B$6/$B$5</f>
        <v>2.625</v>
      </c>
      <c r="F53" s="8">
        <f>D53*$B$7/$B$5</f>
        <v>0.375</v>
      </c>
      <c r="G53" s="8">
        <f>(B53-E53)^2/E53</f>
        <v>0.05357142857142857</v>
      </c>
      <c r="H53" s="8">
        <f>(C53-F53)^2/F53</f>
        <v>0.375</v>
      </c>
      <c r="I53" s="8">
        <f>SUM(G53:H53)</f>
        <v>0.42857142857142855</v>
      </c>
    </row>
    <row r="54" spans="1:9" ht="24" customHeight="1">
      <c r="A54" s="4">
        <v>80300</v>
      </c>
      <c r="B54" s="4">
        <f>COUNTIFS($F$11:$F$18,$A54,$G$11:$G$18,0)</f>
        <v>2</v>
      </c>
      <c r="C54" s="4">
        <f>COUNTIFS($F$11:$F$18,$A54,$G$11:$G$18,1)</f>
        <v>0</v>
      </c>
      <c r="D54" s="4">
        <f>SUM(B54:C54)</f>
        <v>2</v>
      </c>
      <c r="E54" s="8">
        <f>D54*$B$6/$B$5</f>
        <v>1.75</v>
      </c>
      <c r="F54" s="8">
        <f>D54*$B$7/$B$5</f>
        <v>0.25</v>
      </c>
      <c r="G54" s="8">
        <f>(B54-E54)^2/E54</f>
        <v>0.03571428571428571</v>
      </c>
      <c r="H54" s="8">
        <f>(C54-F54)^2/F54</f>
        <v>0.25</v>
      </c>
      <c r="I54" s="8">
        <f>SUM(G54:H54)</f>
        <v>0.2857142857142857</v>
      </c>
    </row>
    <row r="55" spans="1:9" ht="24" customHeight="1">
      <c r="A55" s="4">
        <v>87000</v>
      </c>
      <c r="B55" s="4">
        <f>COUNTIFS($F$11:$F$18,$A55,$G$11:$G$18,0)</f>
        <v>2</v>
      </c>
      <c r="C55" s="4">
        <f>COUNTIFS($F$11:$F$18,$A55,$G$11:$G$18,1)</f>
        <v>1</v>
      </c>
      <c r="D55" s="4">
        <f>SUM(B55:C55)</f>
        <v>3</v>
      </c>
      <c r="E55" s="8">
        <f>D55*$B$6/$B$5</f>
        <v>2.625</v>
      </c>
      <c r="F55" s="8">
        <f>D55*$B$7/$B$5</f>
        <v>0.375</v>
      </c>
      <c r="G55" s="8">
        <f>(B55-E55)^2/E55</f>
        <v>0.1488095238095238</v>
      </c>
      <c r="H55" s="8">
        <f>(C55-F55)^2/F55</f>
        <v>1.0416666666666667</v>
      </c>
      <c r="I55" s="8">
        <f>SUM(G55:H55)</f>
        <v>1.1904761904761905</v>
      </c>
    </row>
    <row r="56" spans="1:9" ht="24" customHeight="1">
      <c r="A56" s="2" t="s">
        <v>76</v>
      </c>
      <c r="I56" s="8">
        <f>SUM(I53:I55)</f>
        <v>1.9047619047619047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showGridLines="1" view="normal" zoomScale="90" zoomScaleNormal="9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24" customHeight="1"/>
  <cols>
    <col min="1" max="1" width="24.7109375" customWidth="1"/>
    <col min="2" max="2" width="18.7109375" customWidth="1"/>
    <col min="3" max="3" width="14.7109375" customWidth="1"/>
    <col min="4" max="4" width="11.7109375" customWidth="1"/>
    <col min="5" max="6" width="15.7109375" customWidth="1"/>
    <col min="7" max="8" width="19.7109375" customWidth="1"/>
    <col min="9" max="9" width="15.7109375" customWidth="1"/>
  </cols>
  <sheetData>
    <row r="1" spans="1:7" ht="24" customHeight="1">
      <c r="A1" s="5" t="s">
        <v>86</v>
      </c>
      <c r="B1" s="5" t="s">
        <v>87</v>
      </c>
    </row>
    <row r="2" spans="1:7" ht="88" customHeight="1">
      <c r="A2" s="2" t="s">
        <v>55</v>
      </c>
      <c r="B2" s="3" t="s">
        <v>88</v>
      </c>
    </row>
    <row r="3" spans="1:7" ht="34" customHeight="1">
      <c r="A3" s="2" t="s">
        <v>57</v>
      </c>
      <c r="B3" s="6" t="s">
        <v>24</v>
      </c>
    </row>
    <row r="5" spans="1:7" ht="24" customHeight="1">
      <c r="A5" s="2" t="s">
        <v>58</v>
      </c>
      <c r="B5" s="4">
        <f>COUNTA($A$11:$A$13)</f>
        <v>3</v>
      </c>
    </row>
    <row r="6" spans="1:7" ht="24" customHeight="1">
      <c r="A6" s="2" t="s">
        <v>59</v>
      </c>
      <c r="B6" s="4">
        <f>COUNTIF($G$11:$G$13,0)</f>
        <v>2</v>
      </c>
    </row>
    <row r="7" spans="1:7" ht="24" customHeight="1">
      <c r="A7" s="2" t="s">
        <v>60</v>
      </c>
      <c r="B7" s="4">
        <f>COUNTIF($G$11:$G$13,1)</f>
        <v>1</v>
      </c>
    </row>
    <row r="9" spans="1:7" ht="24" customHeight="1">
      <c r="A9" s="2" t="s">
        <v>61</v>
      </c>
    </row>
    <row r="10" spans="1:7" ht="34" customHeight="1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</row>
    <row r="11" spans="1:7" ht="24" customHeight="1">
      <c r="A11" s="4">
        <f>'Dati'!A3</f>
        <v>2</v>
      </c>
      <c r="B11" s="4" t="str">
        <f>'Dati'!B3</f>
        <v>v</v>
      </c>
      <c r="C11" s="4">
        <f>'Dati'!C3</f>
        <v>35</v>
      </c>
      <c r="D11" s="4" t="str">
        <f>'Dati'!D3</f>
        <v>īpašnieks</v>
      </c>
      <c r="E11" s="4">
        <f>'Dati'!E3</f>
        <v>2</v>
      </c>
      <c r="F11" s="4">
        <f>'Dati'!F3</f>
        <v>87000</v>
      </c>
      <c r="G11" s="4">
        <f>'Dati'!G3</f>
        <v>0</v>
      </c>
    </row>
    <row r="12" spans="1:7" ht="24" customHeight="1">
      <c r="A12" s="4">
        <f>'Dati'!A10</f>
        <v>9</v>
      </c>
      <c r="B12" s="4" t="str">
        <f>'Dati'!B10</f>
        <v>v</v>
      </c>
      <c r="C12" s="4">
        <f>'Dati'!C10</f>
        <v>35</v>
      </c>
      <c r="D12" s="4" t="str">
        <f>'Dati'!D10</f>
        <v>īpašnieks</v>
      </c>
      <c r="E12" s="4">
        <f>'Dati'!E10</f>
        <v>1</v>
      </c>
      <c r="F12" s="4">
        <f>'Dati'!F10</f>
        <v>60100</v>
      </c>
      <c r="G12" s="4">
        <f>'Dati'!G10</f>
        <v>0</v>
      </c>
    </row>
    <row r="13" spans="1:7" ht="24" customHeight="1">
      <c r="A13" s="4">
        <f>'Dati'!A14</f>
        <v>13</v>
      </c>
      <c r="B13" s="4" t="str">
        <f>'Dati'!B14</f>
        <v>v</v>
      </c>
      <c r="C13" s="4">
        <f>'Dati'!C14</f>
        <v>40</v>
      </c>
      <c r="D13" s="4" t="str">
        <f>'Dati'!D14</f>
        <v>īpašnieks</v>
      </c>
      <c r="E13" s="4">
        <f>'Dati'!E14</f>
        <v>4</v>
      </c>
      <c r="F13" s="4">
        <f>'Dati'!F14</f>
        <v>87000</v>
      </c>
      <c r="G13" s="4">
        <f>'Dati'!G14</f>
        <v>1</v>
      </c>
    </row>
    <row r="16" spans="1:7" ht="34" customHeight="1">
      <c r="A16" s="1" t="s">
        <v>62</v>
      </c>
      <c r="B16" s="1" t="s">
        <v>63</v>
      </c>
      <c r="C16" s="1" t="s">
        <v>64</v>
      </c>
      <c r="D16" s="1" t="s">
        <v>65</v>
      </c>
    </row>
    <row r="17" spans="1:9" ht="24" customHeight="1">
      <c r="A17" s="6" t="s">
        <v>24</v>
      </c>
      <c r="B17" s="7">
        <f>I26</f>
        <v>3.0</v>
      </c>
      <c r="C17" s="6">
        <v>2</v>
      </c>
      <c r="D17" s="6" t="s">
        <v>77</v>
      </c>
    </row>
    <row r="18" spans="1:9" ht="24" customHeight="1">
      <c r="A18" s="3" t="s">
        <v>26</v>
      </c>
      <c r="B18" s="8">
        <f>I34</f>
        <v>3.0</v>
      </c>
      <c r="C18" s="4">
        <v>3</v>
      </c>
      <c r="D18" s="4" t="s">
        <v>79</v>
      </c>
    </row>
    <row r="19" spans="1:9" ht="24" customHeight="1">
      <c r="A19" s="3" t="s">
        <v>27</v>
      </c>
      <c r="B19" s="8">
        <f>I41</f>
        <v>0.75</v>
      </c>
      <c r="C19" s="4">
        <v>2</v>
      </c>
      <c r="D19" s="4" t="s">
        <v>79</v>
      </c>
    </row>
    <row r="22" spans="1:9" ht="34" customHeight="1">
      <c r="A22" s="6" t="s">
        <v>24</v>
      </c>
      <c r="B22" s="6" t="s">
        <v>66</v>
      </c>
    </row>
    <row r="23" spans="1:9" ht="34" customHeight="1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71</v>
      </c>
      <c r="F23" s="1" t="s">
        <v>72</v>
      </c>
      <c r="G23" s="1" t="s">
        <v>73</v>
      </c>
      <c r="H23" s="1" t="s">
        <v>74</v>
      </c>
      <c r="I23" s="1" t="s">
        <v>75</v>
      </c>
    </row>
    <row r="24" spans="1:9" ht="24" customHeight="1">
      <c r="A24" s="4">
        <v>35</v>
      </c>
      <c r="B24" s="4">
        <f>COUNTIFS($C$11:$C$13,$A24,$G$11:$G$13,0)</f>
        <v>2</v>
      </c>
      <c r="C24" s="4">
        <f>COUNTIFS($C$11:$C$13,$A24,$G$11:$G$13,1)</f>
        <v>0</v>
      </c>
      <c r="D24" s="4">
        <f>SUM(B24:C24)</f>
        <v>2</v>
      </c>
      <c r="E24" s="8">
        <f>D24*$B$6/$B$5</f>
        <v>1.3333333333333333</v>
      </c>
      <c r="F24" s="8">
        <f>D24*$B$7/$B$5</f>
        <v>0.6666666666666666</v>
      </c>
      <c r="G24" s="8">
        <f>(B24-E24)^2/E24</f>
        <v>0.3333333333333333</v>
      </c>
      <c r="H24" s="8">
        <f>(C24-F24)^2/F24</f>
        <v>0.6666666666666666</v>
      </c>
      <c r="I24" s="8">
        <f>SUM(G24:H24)</f>
        <v>1.0</v>
      </c>
    </row>
    <row r="25" spans="1:9" ht="24" customHeight="1">
      <c r="A25" s="4">
        <v>40</v>
      </c>
      <c r="B25" s="4">
        <f>COUNTIFS($C$11:$C$13,$A25,$G$11:$G$13,0)</f>
        <v>0</v>
      </c>
      <c r="C25" s="4">
        <f>COUNTIFS($C$11:$C$13,$A25,$G$11:$G$13,1)</f>
        <v>1</v>
      </c>
      <c r="D25" s="4">
        <f>SUM(B25:C25)</f>
        <v>1</v>
      </c>
      <c r="E25" s="8">
        <f>D25*$B$6/$B$5</f>
        <v>0.6666666666666666</v>
      </c>
      <c r="F25" s="8">
        <f>D25*$B$7/$B$5</f>
        <v>0.3333333333333333</v>
      </c>
      <c r="G25" s="8">
        <f>(B25-E25)^2/E25</f>
        <v>0.6666666666666666</v>
      </c>
      <c r="H25" s="8">
        <f>(C25-F25)^2/F25</f>
        <v>1.3333333333333333</v>
      </c>
      <c r="I25" s="8">
        <f>SUM(G25:H25)</f>
        <v>2.0</v>
      </c>
    </row>
    <row r="26" spans="1:9" ht="24" customHeight="1">
      <c r="A26" s="6" t="s">
        <v>76</v>
      </c>
      <c r="I26" s="7">
        <f>SUM(I24:I25)</f>
        <v>3.0</v>
      </c>
    </row>
    <row r="29" spans="1:9" ht="34" customHeight="1">
      <c r="A29" s="2" t="s">
        <v>26</v>
      </c>
      <c r="B29" s="2" t="s">
        <v>78</v>
      </c>
    </row>
    <row r="30" spans="1:9" ht="34" customHeight="1">
      <c r="A30" s="1" t="s">
        <v>67</v>
      </c>
      <c r="B30" s="1" t="s">
        <v>68</v>
      </c>
      <c r="C30" s="1" t="s">
        <v>69</v>
      </c>
      <c r="D30" s="1" t="s">
        <v>70</v>
      </c>
      <c r="E30" s="1" t="s">
        <v>71</v>
      </c>
      <c r="F30" s="1" t="s">
        <v>72</v>
      </c>
      <c r="G30" s="1" t="s">
        <v>73</v>
      </c>
      <c r="H30" s="1" t="s">
        <v>74</v>
      </c>
      <c r="I30" s="1" t="s">
        <v>75</v>
      </c>
    </row>
    <row r="31" spans="1:9" ht="24" customHeight="1">
      <c r="A31" s="4">
        <v>1</v>
      </c>
      <c r="B31" s="4">
        <f>COUNTIFS($E$11:$E$13,$A31,$G$11:$G$13,0)</f>
        <v>1</v>
      </c>
      <c r="C31" s="4">
        <f>COUNTIFS($E$11:$E$13,$A31,$G$11:$G$13,1)</f>
        <v>0</v>
      </c>
      <c r="D31" s="4">
        <f>SUM(B31:C31)</f>
        <v>1</v>
      </c>
      <c r="E31" s="8">
        <f>D31*$B$6/$B$5</f>
        <v>0.6666666666666666</v>
      </c>
      <c r="F31" s="8">
        <f>D31*$B$7/$B$5</f>
        <v>0.3333333333333333</v>
      </c>
      <c r="G31" s="8">
        <f>(B31-E31)^2/E31</f>
        <v>0.16666666666666666</v>
      </c>
      <c r="H31" s="8">
        <f>(C31-F31)^2/F31</f>
        <v>0.3333333333333333</v>
      </c>
      <c r="I31" s="8">
        <f>SUM(G31:H31)</f>
        <v>0.5</v>
      </c>
    </row>
    <row r="32" spans="1:9" ht="24" customHeight="1">
      <c r="A32" s="4">
        <v>2</v>
      </c>
      <c r="B32" s="4">
        <f>COUNTIFS($E$11:$E$13,$A32,$G$11:$G$13,0)</f>
        <v>1</v>
      </c>
      <c r="C32" s="4">
        <f>COUNTIFS($E$11:$E$13,$A32,$G$11:$G$13,1)</f>
        <v>0</v>
      </c>
      <c r="D32" s="4">
        <f>SUM(B32:C32)</f>
        <v>1</v>
      </c>
      <c r="E32" s="8">
        <f>D32*$B$6/$B$5</f>
        <v>0.6666666666666666</v>
      </c>
      <c r="F32" s="8">
        <f>D32*$B$7/$B$5</f>
        <v>0.3333333333333333</v>
      </c>
      <c r="G32" s="8">
        <f>(B32-E32)^2/E32</f>
        <v>0.16666666666666666</v>
      </c>
      <c r="H32" s="8">
        <f>(C32-F32)^2/F32</f>
        <v>0.3333333333333333</v>
      </c>
      <c r="I32" s="8">
        <f>SUM(G32:H32)</f>
        <v>0.5</v>
      </c>
    </row>
    <row r="33" spans="1:9" ht="24" customHeight="1">
      <c r="A33" s="4">
        <v>4</v>
      </c>
      <c r="B33" s="4">
        <f>COUNTIFS($E$11:$E$13,$A33,$G$11:$G$13,0)</f>
        <v>0</v>
      </c>
      <c r="C33" s="4">
        <f>COUNTIFS($E$11:$E$13,$A33,$G$11:$G$13,1)</f>
        <v>1</v>
      </c>
      <c r="D33" s="4">
        <f>SUM(B33:C33)</f>
        <v>1</v>
      </c>
      <c r="E33" s="8">
        <f>D33*$B$6/$B$5</f>
        <v>0.6666666666666666</v>
      </c>
      <c r="F33" s="8">
        <f>D33*$B$7/$B$5</f>
        <v>0.3333333333333333</v>
      </c>
      <c r="G33" s="8">
        <f>(B33-E33)^2/E33</f>
        <v>0.6666666666666666</v>
      </c>
      <c r="H33" s="8">
        <f>(C33-F33)^2/F33</f>
        <v>1.3333333333333333</v>
      </c>
      <c r="I33" s="8">
        <f>SUM(G33:H33)</f>
        <v>2.0</v>
      </c>
    </row>
    <row r="34" spans="1:9" ht="24" customHeight="1">
      <c r="A34" s="2" t="s">
        <v>76</v>
      </c>
      <c r="I34" s="8">
        <f>SUM(I31:I33)</f>
        <v>3.0</v>
      </c>
    </row>
    <row r="37" spans="1:9" ht="34" customHeight="1">
      <c r="A37" s="2" t="s">
        <v>27</v>
      </c>
      <c r="B37" s="2" t="s">
        <v>78</v>
      </c>
    </row>
    <row r="38" spans="1:9" ht="34" customHeight="1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74</v>
      </c>
      <c r="I38" s="1" t="s">
        <v>75</v>
      </c>
    </row>
    <row r="39" spans="1:9" ht="24" customHeight="1">
      <c r="A39" s="4">
        <v>60100</v>
      </c>
      <c r="B39" s="4">
        <f>COUNTIFS($F$11:$F$13,$A39,$G$11:$G$13,0)</f>
        <v>1</v>
      </c>
      <c r="C39" s="4">
        <f>COUNTIFS($F$11:$F$13,$A39,$G$11:$G$13,1)</f>
        <v>0</v>
      </c>
      <c r="D39" s="4">
        <f>SUM(B39:C39)</f>
        <v>1</v>
      </c>
      <c r="E39" s="8">
        <f>D39*$B$6/$B$5</f>
        <v>0.6666666666666666</v>
      </c>
      <c r="F39" s="8">
        <f>D39*$B$7/$B$5</f>
        <v>0.3333333333333333</v>
      </c>
      <c r="G39" s="8">
        <f>(B39-E39)^2/E39</f>
        <v>0.16666666666666666</v>
      </c>
      <c r="H39" s="8">
        <f>(C39-F39)^2/F39</f>
        <v>0.3333333333333333</v>
      </c>
      <c r="I39" s="8">
        <f>SUM(G39:H39)</f>
        <v>0.5</v>
      </c>
    </row>
    <row r="40" spans="1:9" ht="24" customHeight="1">
      <c r="A40" s="4">
        <v>87000</v>
      </c>
      <c r="B40" s="4">
        <f>COUNTIFS($F$11:$F$13,$A40,$G$11:$G$13,0)</f>
        <v>1</v>
      </c>
      <c r="C40" s="4">
        <f>COUNTIFS($F$11:$F$13,$A40,$G$11:$G$13,1)</f>
        <v>1</v>
      </c>
      <c r="D40" s="4">
        <f>SUM(B40:C40)</f>
        <v>2</v>
      </c>
      <c r="E40" s="8">
        <f>D40*$B$6/$B$5</f>
        <v>1.3333333333333333</v>
      </c>
      <c r="F40" s="8">
        <f>D40*$B$7/$B$5</f>
        <v>0.6666666666666666</v>
      </c>
      <c r="G40" s="8">
        <f>(B40-E40)^2/E40</f>
        <v>0.08333333333333333</v>
      </c>
      <c r="H40" s="8">
        <f>(C40-F40)^2/F40</f>
        <v>0.16666666666666666</v>
      </c>
      <c r="I40" s="8">
        <f>SUM(G40:H40)</f>
        <v>0.25</v>
      </c>
    </row>
    <row r="41" spans="1:9" ht="24" customHeight="1">
      <c r="A41" s="2" t="s">
        <v>76</v>
      </c>
      <c r="I41" s="8">
        <f>SUM(I39:I40)</f>
        <v>0.75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showGridLines="1" view="normal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4" customHeight="1"/>
  <cols>
    <col min="1" max="1" width="10.7109375" customWidth="1"/>
    <col min="2" max="2" width="37.7109375" customWidth="1"/>
    <col min="3" max="3" width="9.7109375" customWidth="1"/>
    <col min="4" max="5" width="10.7109375" customWidth="1"/>
    <col min="6" max="6" width="23.7109375" customWidth="1"/>
    <col min="7" max="7" width="17.7109375" customWidth="1"/>
    <col min="8" max="8" width="14.7109375" customWidth="1"/>
    <col min="9" max="9" width="56.7109375" customWidth="1"/>
  </cols>
  <sheetData>
    <row r="1" spans="1:9" ht="34" customHeight="1">
      <c r="A1" s="1" t="s">
        <v>89</v>
      </c>
      <c r="B1" s="1" t="s">
        <v>55</v>
      </c>
      <c r="C1" s="1" t="s">
        <v>90</v>
      </c>
      <c r="D1" s="1" t="s">
        <v>91</v>
      </c>
      <c r="E1" s="1" t="s">
        <v>92</v>
      </c>
      <c r="F1" s="1" t="s">
        <v>57</v>
      </c>
      <c r="G1" s="1" t="s">
        <v>63</v>
      </c>
      <c r="H1" s="1" t="s">
        <v>93</v>
      </c>
      <c r="I1" s="1" t="s">
        <v>94</v>
      </c>
    </row>
    <row r="2" spans="1:9" ht="92" customHeight="1">
      <c r="A2" s="4" t="s">
        <v>95</v>
      </c>
      <c r="B2" s="3" t="s">
        <v>56</v>
      </c>
      <c r="C2" s="4">
        <f>'Mezgls_1'!B5</f>
        <v>15</v>
      </c>
      <c r="D2" s="4">
        <f>'Mezgls_1'!B6</f>
        <v>8</v>
      </c>
      <c r="E2" s="4">
        <f>'Mezgls_1'!B7</f>
        <v>7</v>
      </c>
      <c r="F2" s="6" t="s">
        <v>23</v>
      </c>
      <c r="G2" s="7">
        <f>'Mezgls_1'!I40</f>
        <v>8.040497448979592</v>
      </c>
      <c r="H2" s="4">
        <v>2</v>
      </c>
      <c r="I2" s="3" t="s">
        <v>96</v>
      </c>
    </row>
    <row r="3" spans="1:9" ht="92" customHeight="1">
      <c r="A3" s="4" t="s">
        <v>97</v>
      </c>
      <c r="B3" s="3" t="s">
        <v>82</v>
      </c>
      <c r="C3" s="4">
        <f>'Mezgls_2'!B5</f>
        <v>7</v>
      </c>
      <c r="D3" s="4">
        <f>'Mezgls_2'!B6</f>
        <v>1</v>
      </c>
      <c r="E3" s="4">
        <f>'Mezgls_2'!B7</f>
        <v>6</v>
      </c>
      <c r="F3" s="6" t="s">
        <v>24</v>
      </c>
      <c r="G3" s="7">
        <f>'Mezgls_2'!I34</f>
        <v>7.0</v>
      </c>
      <c r="H3" s="4">
        <v>5</v>
      </c>
      <c r="I3" s="3" t="s">
        <v>98</v>
      </c>
    </row>
    <row r="4" spans="1:9" ht="92" customHeight="1">
      <c r="A4" s="4" t="s">
        <v>99</v>
      </c>
      <c r="B4" s="3" t="s">
        <v>85</v>
      </c>
      <c r="C4" s="4">
        <f>'Mezgls_3'!B5</f>
        <v>8</v>
      </c>
      <c r="D4" s="4">
        <f>'Mezgls_3'!B6</f>
        <v>7</v>
      </c>
      <c r="E4" s="4">
        <f>'Mezgls_3'!B7</f>
        <v>1</v>
      </c>
      <c r="F4" s="6" t="s">
        <v>25</v>
      </c>
      <c r="G4" s="7">
        <f>'Mezgls_3'!I40</f>
        <v>1.9047619047619047</v>
      </c>
      <c r="H4" s="4">
        <v>2</v>
      </c>
      <c r="I4" s="3" t="s">
        <v>100</v>
      </c>
    </row>
    <row r="5" spans="1:9" ht="92" customHeight="1">
      <c r="A5" s="4" t="s">
        <v>101</v>
      </c>
      <c r="B5" s="3" t="s">
        <v>88</v>
      </c>
      <c r="C5" s="4">
        <f>'Mezgls_4'!B5</f>
        <v>3</v>
      </c>
      <c r="D5" s="4">
        <f>'Mezgls_4'!B6</f>
        <v>2</v>
      </c>
      <c r="E5" s="4">
        <f>'Mezgls_4'!B7</f>
        <v>1</v>
      </c>
      <c r="F5" s="6" t="s">
        <v>24</v>
      </c>
      <c r="G5" s="7">
        <f>'Mezgls_4'!I26</f>
        <v>3.0</v>
      </c>
      <c r="H5" s="4">
        <v>2</v>
      </c>
      <c r="I5" s="3" t="s">
        <v>102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"/>
  <sheetViews>
    <sheetView showGridLines="1" view="normal" zoomScale="90" zoomScaleNormal="90" workbookViewId="0">
      <pane ySplit="3" topLeftCell="A4" activePane="bottomLeft" state="frozen"/>
      <selection pane="bottomLeft"/>
    </sheetView>
  </sheetViews>
  <sheetFormatPr defaultRowHeight="24" customHeight="1"/>
  <cols>
    <col min="1" max="1" width="16.7109375" customWidth="1"/>
    <col min="2" max="2" width="34.7109375" customWidth="1"/>
    <col min="3" max="10" width="14.7109375" customWidth="1"/>
  </cols>
  <sheetData>
    <row r="1" spans="1:2" ht="44" customHeight="1">
      <c r="A1" s="2" t="s">
        <v>103</v>
      </c>
      <c r="B1" s="3" t="s">
        <v>104</v>
      </c>
    </row>
    <row r="2" spans="1:2" ht="44" customHeight="1">
      <c r="A2" s="2" t="s">
        <v>23</v>
      </c>
      <c r="B2" s="3" t="s">
        <v>105</v>
      </c>
    </row>
    <row r="3" spans="1:2" ht="44" customHeight="1">
      <c r="A3" s="2" t="s">
        <v>106</v>
      </c>
      <c r="B3" s="3" t="s">
        <v>107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"/>
  <sheetViews>
    <sheetView showGridLines="1" view="normal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10.7109375" customWidth="1"/>
    <col min="2" max="2" width="78.7109375" customWidth="1"/>
    <col min="3" max="3" width="15.7109375" customWidth="1"/>
    <col min="4" max="4" width="21.7109375" customWidth="1"/>
    <col min="5" max="5" width="10.7109375" customWidth="1"/>
    <col min="6" max="6" width="24.7109375" customWidth="1"/>
  </cols>
  <sheetData>
    <row r="1" spans="1:6" ht="34" customHeight="1">
      <c r="A1" s="1" t="s">
        <v>108</v>
      </c>
      <c r="B1" s="1" t="s">
        <v>109</v>
      </c>
      <c r="C1" s="1" t="s">
        <v>110</v>
      </c>
      <c r="D1" s="1" t="s">
        <v>16</v>
      </c>
      <c r="E1" s="1" t="s">
        <v>90</v>
      </c>
      <c r="F1" s="1" t="s">
        <v>111</v>
      </c>
    </row>
    <row r="2" spans="1:6" ht="38" customHeight="1">
      <c r="A2" s="4" t="s">
        <v>112</v>
      </c>
      <c r="B2" s="3" t="s">
        <v>113</v>
      </c>
      <c r="C2" s="4">
        <v>0</v>
      </c>
      <c r="D2" s="3" t="s">
        <v>114</v>
      </c>
      <c r="E2" s="4">
        <v>1</v>
      </c>
      <c r="F2" s="3" t="s">
        <v>115</v>
      </c>
    </row>
    <row r="3" spans="1:6" ht="38" customHeight="1">
      <c r="A3" s="4" t="s">
        <v>116</v>
      </c>
      <c r="B3" s="3" t="s">
        <v>117</v>
      </c>
      <c r="C3" s="4">
        <v>1</v>
      </c>
      <c r="D3" s="3" t="s">
        <v>118</v>
      </c>
      <c r="E3" s="4">
        <v>1</v>
      </c>
      <c r="F3" s="3" t="s">
        <v>119</v>
      </c>
    </row>
    <row r="4" spans="1:6" ht="38" customHeight="1">
      <c r="A4" s="4" t="s">
        <v>120</v>
      </c>
      <c r="B4" s="3" t="s">
        <v>121</v>
      </c>
      <c r="C4" s="4">
        <v>1</v>
      </c>
      <c r="D4" s="3" t="s">
        <v>118</v>
      </c>
      <c r="E4" s="4">
        <v>1</v>
      </c>
      <c r="F4" s="3" t="s">
        <v>122</v>
      </c>
    </row>
    <row r="5" spans="1:6" ht="38" customHeight="1">
      <c r="A5" s="4" t="s">
        <v>123</v>
      </c>
      <c r="B5" s="3" t="s">
        <v>124</v>
      </c>
      <c r="C5" s="4">
        <v>1</v>
      </c>
      <c r="D5" s="3" t="s">
        <v>118</v>
      </c>
      <c r="E5" s="4">
        <v>2</v>
      </c>
      <c r="F5" s="3" t="s">
        <v>125</v>
      </c>
    </row>
    <row r="6" spans="1:6" ht="38" customHeight="1">
      <c r="A6" s="4" t="s">
        <v>126</v>
      </c>
      <c r="B6" s="3" t="s">
        <v>127</v>
      </c>
      <c r="C6" s="4">
        <v>1</v>
      </c>
      <c r="D6" s="3" t="s">
        <v>118</v>
      </c>
      <c r="E6" s="4">
        <v>2</v>
      </c>
      <c r="F6" s="3" t="s">
        <v>128</v>
      </c>
    </row>
    <row r="7" spans="1:6" ht="48" customHeight="1">
      <c r="A7" s="4" t="s">
        <v>129</v>
      </c>
      <c r="B7" s="3" t="s">
        <v>130</v>
      </c>
      <c r="C7" s="4">
        <v>0</v>
      </c>
      <c r="D7" s="3" t="s">
        <v>114</v>
      </c>
      <c r="E7" s="4">
        <v>2</v>
      </c>
      <c r="F7" s="3" t="s">
        <v>131</v>
      </c>
    </row>
    <row r="8" spans="1:6" ht="48" customHeight="1">
      <c r="A8" s="4" t="s">
        <v>132</v>
      </c>
      <c r="B8" s="3" t="s">
        <v>133</v>
      </c>
      <c r="C8" s="4">
        <v>1</v>
      </c>
      <c r="D8" s="3" t="s">
        <v>118</v>
      </c>
      <c r="E8" s="4">
        <v>1</v>
      </c>
      <c r="F8" s="3" t="s">
        <v>134</v>
      </c>
    </row>
    <row r="9" spans="1:6" ht="38" customHeight="1">
      <c r="A9" s="4" t="s">
        <v>135</v>
      </c>
      <c r="B9" s="3" t="s">
        <v>136</v>
      </c>
      <c r="C9" s="4">
        <v>0</v>
      </c>
      <c r="D9" s="3" t="s">
        <v>114</v>
      </c>
      <c r="E9" s="4">
        <v>5</v>
      </c>
      <c r="F9" s="3" t="s">
        <v>137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showGridLines="1" view="normal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9.7109375" customWidth="1"/>
    <col min="2" max="3" width="18.7109375" customWidth="1"/>
    <col min="4" max="4" width="14.7109375" customWidth="1"/>
    <col min="5" max="5" width="17.7109375" customWidth="1"/>
  </cols>
  <sheetData>
    <row r="1" spans="1:5" ht="34" customHeight="1">
      <c r="A1" s="1" t="s">
        <v>22</v>
      </c>
      <c r="B1" s="1" t="s">
        <v>138</v>
      </c>
      <c r="C1" s="1" t="s">
        <v>139</v>
      </c>
      <c r="D1" s="1" t="s">
        <v>108</v>
      </c>
      <c r="E1" s="1" t="s">
        <v>140</v>
      </c>
    </row>
    <row r="2" spans="1:5" ht="24" customHeight="1">
      <c r="A2" s="4">
        <f>'Dati'!A2</f>
        <v>1</v>
      </c>
      <c r="B2" s="4">
        <f>'Dati'!G2</f>
        <v>0</v>
      </c>
      <c r="C2" s="4">
        <f>IF('Dati'!B2="s",IF('Dati'!C2=25,0,IF('Dati'!C2=29,1,IF('Dati'!C2=35,1,IF('Dati'!C2=40,1,IF('Dati'!C2=48,1,"Ārpus koka"))))),IF('Dati'!B2="v",IF('Dati'!D2="īpašnieks",IF('Dati'!C2=35,0,IF('Dati'!C2=40,1,"Ārpus koka")),IF('Dati'!D2="īrē",0,"Ārpus koka")),"Ārpus koka"))</f>
        <v>0</v>
      </c>
      <c r="D2" s="4" t="str">
        <f>IF('Dati'!B2="s",IF('Dati'!C2=25,"R1",IF('Dati'!C2=29,"R2",IF('Dati'!C2=35,"R3",IF('Dati'!C2=40,"R4",IF('Dati'!C2=48,"R5","Ārpus koka"))))),IF('Dati'!B2="v",IF('Dati'!D2="īpašnieks",IF('Dati'!C2=35,"R6",IF('Dati'!C2=40,"R7","Ārpus koka")),IF('Dati'!D2="īrē","R8","Ārpus koka")),"Ārpus koka"))</f>
        <v>R8</v>
      </c>
      <c r="E2" s="4">
        <f>IF(B2=C2,1,0)</f>
        <v>1</v>
      </c>
    </row>
    <row r="3" spans="1:5" ht="24" customHeight="1">
      <c r="A3" s="4">
        <f>'Dati'!A3</f>
        <v>2</v>
      </c>
      <c r="B3" s="4">
        <f>'Dati'!G3</f>
        <v>0</v>
      </c>
      <c r="C3" s="4">
        <f>IF('Dati'!B3="s",IF('Dati'!C3=25,0,IF('Dati'!C3=29,1,IF('Dati'!C3=35,1,IF('Dati'!C3=40,1,IF('Dati'!C3=48,1,"Ārpus koka"))))),IF('Dati'!B3="v",IF('Dati'!D3="īpašnieks",IF('Dati'!C3=35,0,IF('Dati'!C3=40,1,"Ārpus koka")),IF('Dati'!D3="īrē",0,"Ārpus koka")),"Ārpus koka"))</f>
        <v>0</v>
      </c>
      <c r="D3" s="4" t="str">
        <f>IF('Dati'!B3="s",IF('Dati'!C3=25,"R1",IF('Dati'!C3=29,"R2",IF('Dati'!C3=35,"R3",IF('Dati'!C3=40,"R4",IF('Dati'!C3=48,"R5","Ārpus koka"))))),IF('Dati'!B3="v",IF('Dati'!D3="īpašnieks",IF('Dati'!C3=35,"R6",IF('Dati'!C3=40,"R7","Ārpus koka")),IF('Dati'!D3="īrē","R8","Ārpus koka")),"Ārpus koka"))</f>
        <v>R6</v>
      </c>
      <c r="E3" s="4">
        <f>IF(B3=C3,1,0)</f>
        <v>1</v>
      </c>
    </row>
    <row r="4" spans="1:5" ht="24" customHeight="1">
      <c r="A4" s="4">
        <f>'Dati'!A4</f>
        <v>3</v>
      </c>
      <c r="B4" s="4">
        <f>'Dati'!G4</f>
        <v>1</v>
      </c>
      <c r="C4" s="4">
        <f>IF('Dati'!B4="s",IF('Dati'!C4=25,0,IF('Dati'!C4=29,1,IF('Dati'!C4=35,1,IF('Dati'!C4=40,1,IF('Dati'!C4=48,1,"Ārpus koka"))))),IF('Dati'!B4="v",IF('Dati'!D4="īpašnieks",IF('Dati'!C4=35,0,IF('Dati'!C4=40,1,"Ārpus koka")),IF('Dati'!D4="īrē",0,"Ārpus koka")),"Ārpus koka"))</f>
        <v>1</v>
      </c>
      <c r="D4" s="4" t="str">
        <f>IF('Dati'!B4="s",IF('Dati'!C4=25,"R1",IF('Dati'!C4=29,"R2",IF('Dati'!C4=35,"R3",IF('Dati'!C4=40,"R4",IF('Dati'!C4=48,"R5","Ārpus koka"))))),IF('Dati'!B4="v",IF('Dati'!D4="īpašnieks",IF('Dati'!C4=35,"R6",IF('Dati'!C4=40,"R7","Ārpus koka")),IF('Dati'!D4="īrē","R8","Ārpus koka")),"Ārpus koka"))</f>
        <v>R5</v>
      </c>
      <c r="E4" s="4">
        <f>IF(B4=C4,1,0)</f>
        <v>1</v>
      </c>
    </row>
    <row r="5" spans="1:5" ht="24" customHeight="1">
      <c r="A5" s="4">
        <f>'Dati'!A5</f>
        <v>4</v>
      </c>
      <c r="B5" s="4">
        <f>'Dati'!G5</f>
        <v>1</v>
      </c>
      <c r="C5" s="4">
        <f>IF('Dati'!B5="s",IF('Dati'!C5=25,0,IF('Dati'!C5=29,1,IF('Dati'!C5=35,1,IF('Dati'!C5=40,1,IF('Dati'!C5=48,1,"Ārpus koka"))))),IF('Dati'!B5="v",IF('Dati'!D5="īpašnieks",IF('Dati'!C5=35,0,IF('Dati'!C5=40,1,"Ārpus koka")),IF('Dati'!D5="īrē",0,"Ārpus koka")),"Ārpus koka"))</f>
        <v>1</v>
      </c>
      <c r="D5" s="4" t="str">
        <f>IF('Dati'!B5="s",IF('Dati'!C5=25,"R1",IF('Dati'!C5=29,"R2",IF('Dati'!C5=35,"R3",IF('Dati'!C5=40,"R4",IF('Dati'!C5=48,"R5","Ārpus koka"))))),IF('Dati'!B5="v",IF('Dati'!D5="īpašnieks",IF('Dati'!C5=35,"R6",IF('Dati'!C5=40,"R7","Ārpus koka")),IF('Dati'!D5="īrē","R8","Ārpus koka")),"Ārpus koka"))</f>
        <v>R2</v>
      </c>
      <c r="E5" s="4">
        <f>IF(B5=C5,1,0)</f>
        <v>1</v>
      </c>
    </row>
    <row r="6" spans="1:5" ht="24" customHeight="1">
      <c r="A6" s="4">
        <f>'Dati'!A6</f>
        <v>5</v>
      </c>
      <c r="B6" s="4">
        <f>'Dati'!G6</f>
        <v>0</v>
      </c>
      <c r="C6" s="4">
        <f>IF('Dati'!B6="s",IF('Dati'!C6=25,0,IF('Dati'!C6=29,1,IF('Dati'!C6=35,1,IF('Dati'!C6=40,1,IF('Dati'!C6=48,1,"Ārpus koka"))))),IF('Dati'!B6="v",IF('Dati'!D6="īpašnieks",IF('Dati'!C6=35,0,IF('Dati'!C6=40,1,"Ārpus koka")),IF('Dati'!D6="īrē",0,"Ārpus koka")),"Ārpus koka"))</f>
        <v>0</v>
      </c>
      <c r="D6" s="4" t="str">
        <f>IF('Dati'!B6="s",IF('Dati'!C6=25,"R1",IF('Dati'!C6=29,"R2",IF('Dati'!C6=35,"R3",IF('Dati'!C6=40,"R4",IF('Dati'!C6=48,"R5","Ārpus koka"))))),IF('Dati'!B6="v",IF('Dati'!D6="īpašnieks",IF('Dati'!C6=35,"R6",IF('Dati'!C6=40,"R7","Ārpus koka")),IF('Dati'!D6="īrē","R8","Ārpus koka")),"Ārpus koka"))</f>
        <v>R8</v>
      </c>
      <c r="E6" s="4">
        <f>IF(B6=C6,1,0)</f>
        <v>1</v>
      </c>
    </row>
    <row r="7" spans="1:5" ht="24" customHeight="1">
      <c r="A7" s="4">
        <f>'Dati'!A7</f>
        <v>6</v>
      </c>
      <c r="B7" s="4">
        <f>'Dati'!G7</f>
        <v>0</v>
      </c>
      <c r="C7" s="4">
        <f>IF('Dati'!B7="s",IF('Dati'!C7=25,0,IF('Dati'!C7=29,1,IF('Dati'!C7=35,1,IF('Dati'!C7=40,1,IF('Dati'!C7=48,1,"Ārpus koka"))))),IF('Dati'!B7="v",IF('Dati'!D7="īpašnieks",IF('Dati'!C7=35,0,IF('Dati'!C7=40,1,"Ārpus koka")),IF('Dati'!D7="īrē",0,"Ārpus koka")),"Ārpus koka"))</f>
        <v>0</v>
      </c>
      <c r="D7" s="4" t="str">
        <f>IF('Dati'!B7="s",IF('Dati'!C7=25,"R1",IF('Dati'!C7=29,"R2",IF('Dati'!C7=35,"R3",IF('Dati'!C7=40,"R4",IF('Dati'!C7=48,"R5","Ārpus koka"))))),IF('Dati'!B7="v",IF('Dati'!D7="īpašnieks",IF('Dati'!C7=35,"R6",IF('Dati'!C7=40,"R7","Ārpus koka")),IF('Dati'!D7="īrē","R8","Ārpus koka")),"Ārpus koka"))</f>
        <v>R8</v>
      </c>
      <c r="E7" s="4">
        <f>IF(B7=C7,1,0)</f>
        <v>1</v>
      </c>
    </row>
    <row r="8" spans="1:5" ht="24" customHeight="1">
      <c r="A8" s="4">
        <f>'Dati'!A8</f>
        <v>7</v>
      </c>
      <c r="B8" s="4">
        <f>'Dati'!G8</f>
        <v>1</v>
      </c>
      <c r="C8" s="4">
        <f>IF('Dati'!B8="s",IF('Dati'!C8=25,0,IF('Dati'!C8=29,1,IF('Dati'!C8=35,1,IF('Dati'!C8=40,1,IF('Dati'!C8=48,1,"Ārpus koka"))))),IF('Dati'!B8="v",IF('Dati'!D8="īpašnieks",IF('Dati'!C8=35,0,IF('Dati'!C8=40,1,"Ārpus koka")),IF('Dati'!D8="īrē",0,"Ārpus koka")),"Ārpus koka"))</f>
        <v>1</v>
      </c>
      <c r="D8" s="4" t="str">
        <f>IF('Dati'!B8="s",IF('Dati'!C8=25,"R1",IF('Dati'!C8=29,"R2",IF('Dati'!C8=35,"R3",IF('Dati'!C8=40,"R4",IF('Dati'!C8=48,"R5","Ārpus koka"))))),IF('Dati'!B8="v",IF('Dati'!D8="īpašnieks",IF('Dati'!C8=35,"R6",IF('Dati'!C8=40,"R7","Ārpus koka")),IF('Dati'!D8="īrē","R8","Ārpus koka")),"Ārpus koka"))</f>
        <v>R4</v>
      </c>
      <c r="E8" s="4">
        <f>IF(B8=C8,1,0)</f>
        <v>1</v>
      </c>
    </row>
    <row r="9" spans="1:5" ht="24" customHeight="1">
      <c r="A9" s="4">
        <f>'Dati'!A9</f>
        <v>8</v>
      </c>
      <c r="B9" s="4">
        <f>'Dati'!G9</f>
        <v>0</v>
      </c>
      <c r="C9" s="4">
        <f>IF('Dati'!B9="s",IF('Dati'!C9=25,0,IF('Dati'!C9=29,1,IF('Dati'!C9=35,1,IF('Dati'!C9=40,1,IF('Dati'!C9=48,1,"Ārpus koka"))))),IF('Dati'!B9="v",IF('Dati'!D9="īpašnieks",IF('Dati'!C9=35,0,IF('Dati'!C9=40,1,"Ārpus koka")),IF('Dati'!D9="īrē",0,"Ārpus koka")),"Ārpus koka"))</f>
        <v>0</v>
      </c>
      <c r="D9" s="4" t="str">
        <f>IF('Dati'!B9="s",IF('Dati'!C9=25,"R1",IF('Dati'!C9=29,"R2",IF('Dati'!C9=35,"R3",IF('Dati'!C9=40,"R4",IF('Dati'!C9=48,"R5","Ārpus koka"))))),IF('Dati'!B9="v",IF('Dati'!D9="īpašnieks",IF('Dati'!C9=35,"R6",IF('Dati'!C9=40,"R7","Ārpus koka")),IF('Dati'!D9="īrē","R8","Ārpus koka")),"Ārpus koka"))</f>
        <v>R8</v>
      </c>
      <c r="E9" s="4">
        <f>IF(B9=C9,1,0)</f>
        <v>1</v>
      </c>
    </row>
    <row r="10" spans="1:5" ht="24" customHeight="1">
      <c r="A10" s="4">
        <f>'Dati'!A10</f>
        <v>9</v>
      </c>
      <c r="B10" s="4">
        <f>'Dati'!G10</f>
        <v>0</v>
      </c>
      <c r="C10" s="4">
        <f>IF('Dati'!B10="s",IF('Dati'!C10=25,0,IF('Dati'!C10=29,1,IF('Dati'!C10=35,1,IF('Dati'!C10=40,1,IF('Dati'!C10=48,1,"Ārpus koka"))))),IF('Dati'!B10="v",IF('Dati'!D10="īpašnieks",IF('Dati'!C10=35,0,IF('Dati'!C10=40,1,"Ārpus koka")),IF('Dati'!D10="īrē",0,"Ārpus koka")),"Ārpus koka"))</f>
        <v>0</v>
      </c>
      <c r="D10" s="4" t="str">
        <f>IF('Dati'!B10="s",IF('Dati'!C10=25,"R1",IF('Dati'!C10=29,"R2",IF('Dati'!C10=35,"R3",IF('Dati'!C10=40,"R4",IF('Dati'!C10=48,"R5","Ārpus koka"))))),IF('Dati'!B10="v",IF('Dati'!D10="īpašnieks",IF('Dati'!C10=35,"R6",IF('Dati'!C10=40,"R7","Ārpus koka")),IF('Dati'!D10="īrē","R8","Ārpus koka")),"Ārpus koka"))</f>
        <v>R6</v>
      </c>
      <c r="E10" s="4">
        <f>IF(B10=C10,1,0)</f>
        <v>1</v>
      </c>
    </row>
    <row r="11" spans="1:5" ht="24" customHeight="1">
      <c r="A11" s="4">
        <f>'Dati'!A11</f>
        <v>10</v>
      </c>
      <c r="B11" s="4">
        <f>'Dati'!G11</f>
        <v>1</v>
      </c>
      <c r="C11" s="4">
        <f>IF('Dati'!B11="s",IF('Dati'!C11=25,0,IF('Dati'!C11=29,1,IF('Dati'!C11=35,1,IF('Dati'!C11=40,1,IF('Dati'!C11=48,1,"Ārpus koka"))))),IF('Dati'!B11="v",IF('Dati'!D11="īpašnieks",IF('Dati'!C11=35,0,IF('Dati'!C11=40,1,"Ārpus koka")),IF('Dati'!D11="īrē",0,"Ārpus koka")),"Ārpus koka"))</f>
        <v>1</v>
      </c>
      <c r="D11" s="4" t="str">
        <f>IF('Dati'!B11="s",IF('Dati'!C11=25,"R1",IF('Dati'!C11=29,"R2",IF('Dati'!C11=35,"R3",IF('Dati'!C11=40,"R4",IF('Dati'!C11=48,"R5","Ārpus koka"))))),IF('Dati'!B11="v",IF('Dati'!D11="īpašnieks",IF('Dati'!C11=35,"R6",IF('Dati'!C11=40,"R7","Ārpus koka")),IF('Dati'!D11="īrē","R8","Ārpus koka")),"Ārpus koka"))</f>
        <v>R5</v>
      </c>
      <c r="E11" s="4">
        <f>IF(B11=C11,1,0)</f>
        <v>1</v>
      </c>
    </row>
    <row r="12" spans="1:5" ht="24" customHeight="1">
      <c r="A12" s="4">
        <f>'Dati'!A12</f>
        <v>11</v>
      </c>
      <c r="B12" s="4">
        <f>'Dati'!G12</f>
        <v>0</v>
      </c>
      <c r="C12" s="4">
        <f>IF('Dati'!B12="s",IF('Dati'!C12=25,0,IF('Dati'!C12=29,1,IF('Dati'!C12=35,1,IF('Dati'!C12=40,1,IF('Dati'!C12=48,1,"Ārpus koka"))))),IF('Dati'!B12="v",IF('Dati'!D12="īpašnieks",IF('Dati'!C12=35,0,IF('Dati'!C12=40,1,"Ārpus koka")),IF('Dati'!D12="īrē",0,"Ārpus koka")),"Ārpus koka"))</f>
        <v>0</v>
      </c>
      <c r="D12" s="4" t="str">
        <f>IF('Dati'!B12="s",IF('Dati'!C12=25,"R1",IF('Dati'!C12=29,"R2",IF('Dati'!C12=35,"R3",IF('Dati'!C12=40,"R4",IF('Dati'!C12=48,"R5","Ārpus koka"))))),IF('Dati'!B12="v",IF('Dati'!D12="īpašnieks",IF('Dati'!C12=35,"R6",IF('Dati'!C12=40,"R7","Ārpus koka")),IF('Dati'!D12="īrē","R8","Ārpus koka")),"Ārpus koka"))</f>
        <v>R1</v>
      </c>
      <c r="E12" s="4">
        <f>IF(B12=C12,1,0)</f>
        <v>1</v>
      </c>
    </row>
    <row r="13" spans="1:5" ht="24" customHeight="1">
      <c r="A13" s="4">
        <f>'Dati'!A13</f>
        <v>12</v>
      </c>
      <c r="B13" s="4">
        <f>'Dati'!G13</f>
        <v>0</v>
      </c>
      <c r="C13" s="4">
        <f>IF('Dati'!B13="s",IF('Dati'!C13=25,0,IF('Dati'!C13=29,1,IF('Dati'!C13=35,1,IF('Dati'!C13=40,1,IF('Dati'!C13=48,1,"Ārpus koka"))))),IF('Dati'!B13="v",IF('Dati'!D13="īpašnieks",IF('Dati'!C13=35,0,IF('Dati'!C13=40,1,"Ārpus koka")),IF('Dati'!D13="īrē",0,"Ārpus koka")),"Ārpus koka"))</f>
        <v>0</v>
      </c>
      <c r="D13" s="4" t="str">
        <f>IF('Dati'!B13="s",IF('Dati'!C13=25,"R1",IF('Dati'!C13=29,"R2",IF('Dati'!C13=35,"R3",IF('Dati'!C13=40,"R4",IF('Dati'!C13=48,"R5","Ārpus koka"))))),IF('Dati'!B13="v",IF('Dati'!D13="īpašnieks",IF('Dati'!C13=35,"R6",IF('Dati'!C13=40,"R7","Ārpus koka")),IF('Dati'!D13="īrē","R8","Ārpus koka")),"Ārpus koka"))</f>
        <v>R8</v>
      </c>
      <c r="E13" s="4">
        <f>IF(B13=C13,1,0)</f>
        <v>1</v>
      </c>
    </row>
    <row r="14" spans="1:5" ht="24" customHeight="1">
      <c r="A14" s="4">
        <f>'Dati'!A14</f>
        <v>13</v>
      </c>
      <c r="B14" s="4">
        <f>'Dati'!G14</f>
        <v>1</v>
      </c>
      <c r="C14" s="4">
        <f>IF('Dati'!B14="s",IF('Dati'!C14=25,0,IF('Dati'!C14=29,1,IF('Dati'!C14=35,1,IF('Dati'!C14=40,1,IF('Dati'!C14=48,1,"Ārpus koka"))))),IF('Dati'!B14="v",IF('Dati'!D14="īpašnieks",IF('Dati'!C14=35,0,IF('Dati'!C14=40,1,"Ārpus koka")),IF('Dati'!D14="īrē",0,"Ārpus koka")),"Ārpus koka"))</f>
        <v>1</v>
      </c>
      <c r="D14" s="4" t="str">
        <f>IF('Dati'!B14="s",IF('Dati'!C14=25,"R1",IF('Dati'!C14=29,"R2",IF('Dati'!C14=35,"R3",IF('Dati'!C14=40,"R4",IF('Dati'!C14=48,"R5","Ārpus koka"))))),IF('Dati'!B14="v",IF('Dati'!D14="īpašnieks",IF('Dati'!C14=35,"R6",IF('Dati'!C14=40,"R7","Ārpus koka")),IF('Dati'!D14="īrē","R8","Ārpus koka")),"Ārpus koka"))</f>
        <v>R7</v>
      </c>
      <c r="E14" s="4">
        <f>IF(B14=C14,1,0)</f>
        <v>1</v>
      </c>
    </row>
    <row r="15" spans="1:5" ht="24" customHeight="1">
      <c r="A15" s="4">
        <f>'Dati'!A15</f>
        <v>14</v>
      </c>
      <c r="B15" s="4">
        <f>'Dati'!G15</f>
        <v>1</v>
      </c>
      <c r="C15" s="4">
        <f>IF('Dati'!B15="s",IF('Dati'!C15=25,0,IF('Dati'!C15=29,1,IF('Dati'!C15=35,1,IF('Dati'!C15=40,1,IF('Dati'!C15=48,1,"Ārpus koka"))))),IF('Dati'!B15="v",IF('Dati'!D15="īpašnieks",IF('Dati'!C15=35,0,IF('Dati'!C15=40,1,"Ārpus koka")),IF('Dati'!D15="īrē",0,"Ārpus koka")),"Ārpus koka"))</f>
        <v>1</v>
      </c>
      <c r="D15" s="4" t="str">
        <f>IF('Dati'!B15="s",IF('Dati'!C15=25,"R1",IF('Dati'!C15=29,"R2",IF('Dati'!C15=35,"R3",IF('Dati'!C15=40,"R4",IF('Dati'!C15=48,"R5","Ārpus koka"))))),IF('Dati'!B15="v",IF('Dati'!D15="īpašnieks",IF('Dati'!C15=35,"R6",IF('Dati'!C15=40,"R7","Ārpus koka")),IF('Dati'!D15="īrē","R8","Ārpus koka")),"Ārpus koka"))</f>
        <v>R4</v>
      </c>
      <c r="E15" s="4">
        <f>IF(B15=C15,1,0)</f>
        <v>1</v>
      </c>
    </row>
    <row r="16" spans="1:5" ht="24" customHeight="1">
      <c r="A16" s="4">
        <f>'Dati'!A16</f>
        <v>15</v>
      </c>
      <c r="B16" s="4">
        <f>'Dati'!G16</f>
        <v>1</v>
      </c>
      <c r="C16" s="4">
        <f>IF('Dati'!B16="s",IF('Dati'!C16=25,0,IF('Dati'!C16=29,1,IF('Dati'!C16=35,1,IF('Dati'!C16=40,1,IF('Dati'!C16=48,1,"Ārpus koka"))))),IF('Dati'!B16="v",IF('Dati'!D16="īpašnieks",IF('Dati'!C16=35,0,IF('Dati'!C16=40,1,"Ārpus koka")),IF('Dati'!D16="īrē",0,"Ārpus koka")),"Ārpus koka"))</f>
        <v>1</v>
      </c>
      <c r="D16" s="4" t="str">
        <f>IF('Dati'!B16="s",IF('Dati'!C16=25,"R1",IF('Dati'!C16=29,"R2",IF('Dati'!C16=35,"R3",IF('Dati'!C16=40,"R4",IF('Dati'!C16=48,"R5","Ārpus koka"))))),IF('Dati'!B16="v",IF('Dati'!D16="īpašnieks",IF('Dati'!C16=35,"R6",IF('Dati'!C16=40,"R7","Ārpus koka")),IF('Dati'!D16="īrē","R8","Ārpus koka")),"Ārpus koka"))</f>
        <v>R3</v>
      </c>
      <c r="E16" s="4">
        <f>IF(B16=C16,1,0)</f>
        <v>1</v>
      </c>
    </row>
    <row r="19" spans="1:2" ht="24" customHeight="1">
      <c r="A19" s="2" t="s">
        <v>141</v>
      </c>
      <c r="B19" s="4">
        <f>SUM(E2:E16)</f>
        <v>15</v>
      </c>
    </row>
    <row r="20" spans="1:2" ht="24" customHeight="1">
      <c r="A20" s="2" t="s">
        <v>142</v>
      </c>
      <c r="B20" s="4">
        <f>COUNTA(A2:A16)</f>
        <v>15</v>
      </c>
    </row>
    <row r="21" spans="1:2" ht="24" customHeight="1">
      <c r="A21" s="2" t="s">
        <v>143</v>
      </c>
      <c r="B21" s="9">
        <f>B19/B20</f>
        <v>1</v>
      </c>
    </row>
    <row r="23" spans="1:2" ht="94" customHeight="1">
      <c r="A23" s="2" t="s">
        <v>144</v>
      </c>
      <c r="B23" s="3" t="s">
        <v>145</v>
      </c>
    </row>
  </sheetData>
  <printOptions gridLines="1"/>
  <pageMargins left="0.3" right="0.3" top="0.4" bottom="0.4" header="0.3" footer="0.3"/>
  <pageSetup paperSize="9" fitToHeight="0" orientation="landscape"/>
  <headerFooter>
    <oddHeader>&amp;LChi-square&amp;R Borkovskis / Dunajs</oddHeader>
    <oddFooter>&amp;RP. &amp;P no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7"/>
  <sheetViews>
    <sheetView showGridLines="1" view="normal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27.7109375" customWidth="1"/>
    <col min="2" max="2" width="91.7109375" customWidth="1"/>
  </cols>
  <sheetData>
    <row r="1" spans="1:2" ht="34" customHeight="1">
      <c r="A1" s="1" t="s">
        <v>0</v>
      </c>
      <c r="B1" s="1" t="s">
        <v>1</v>
      </c>
    </row>
    <row r="2" spans="1:2" ht="72" customHeight="1">
      <c r="A2" s="2" t="s">
        <v>146</v>
      </c>
      <c r="B2" s="3" t="s">
        <v>147</v>
      </c>
    </row>
    <row r="3" spans="1:2" ht="62" customHeight="1">
      <c r="A3" s="2" t="s">
        <v>148</v>
      </c>
      <c r="B3" s="3" t="s">
        <v>149</v>
      </c>
    </row>
    <row r="4" spans="1:2" ht="74" customHeight="1">
      <c r="A4" s="2" t="s">
        <v>150</v>
      </c>
      <c r="B4" s="3" t="s">
        <v>151</v>
      </c>
    </row>
    <row r="5" spans="1:2" ht="74" customHeight="1">
      <c r="A5" s="2" t="s">
        <v>152</v>
      </c>
      <c r="B5" s="3" t="s">
        <v>153</v>
      </c>
    </row>
    <row r="6" spans="1:2" ht="56" customHeight="1">
      <c r="A6" s="2" t="s">
        <v>154</v>
      </c>
      <c r="B6" s="3" t="s">
        <v>155</v>
      </c>
    </row>
    <row r="7" spans="1:2" ht="76" customHeight="1">
      <c r="A7" s="2" t="s">
        <v>156</v>
      </c>
      <c r="B7" s="3" t="s">
        <v>157</v>
      </c>
    </row>
  </sheetData>
  <printOptions gridLines="1"/>
  <pageMargins left="0.3" right="0.3" top="0.4" bottom="0.4" header="0.3" footer="0.3"/>
  <pageSetup paperSize="9" fitToHeight="0" orientation="portrait"/>
  <headerFooter>
    <oddHeader>&amp;LChi-square&amp;R Borkovskis / Dunajs</oddHeader>
    <oddFooter>&amp;RP. &amp;P no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Darbs</vt:lpstr>
      <vt:lpstr>Dati</vt:lpstr>
      <vt:lpstr>Metode</vt:lpstr>
      <vt:lpstr>Mezgls_1</vt:lpstr>
      <vt:lpstr>Mezgls_2</vt:lpstr>
      <vt:lpstr>Mezgls_3</vt:lpstr>
      <vt:lpstr>Mezgls_4</vt:lpstr>
      <vt:lpstr>Iterācijas</vt:lpstr>
      <vt:lpstr>Koks</vt:lpstr>
      <vt:lpstr>Likumi</vt:lpstr>
      <vt:lpstr>Pārbaude</vt:lpstr>
      <vt:lpstr>Secinājumi</vt:lpstr>
      <vt:lpstr>Darbs!Print_Area</vt:lpstr>
      <vt:lpstr>Dati!Print_Area</vt:lpstr>
      <vt:lpstr>Iterācijas!Print_Area</vt:lpstr>
      <vt:lpstr>Koks!Print_Area</vt:lpstr>
      <vt:lpstr>Likumi!Print_Area</vt:lpstr>
      <vt:lpstr>Metode!Print_Area</vt:lpstr>
      <vt:lpstr>Mezgls_1!Print_Area</vt:lpstr>
      <vt:lpstr>Mezgls_2!Print_Area</vt:lpstr>
      <vt:lpstr>Mezgls_3!Print_Area</vt:lpstr>
      <vt:lpstr>Mezgls_4!Print_Area</vt:lpstr>
      <vt:lpstr>Pārbaude!Print_Area</vt:lpstr>
      <vt:lpstr>Secinājumi!Print_Area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Chi-square: lēmumu koks 15 klientiem</dc:title>
  <dc:creator>Sandris Borkovskis; Dmitrijs Dunajs</dc:creator>
  <dc:description>Dotie dati nav mainīti. Vienādām χ² vērtībām vispirms izvēlas mazāk kategoriju, pēc tam sākotnējo kolonnu secību.</dc:description>
  <cp:lastModifiedBy>Sandris Borkovskis; Dmitrijs Dunajs</cp:lastModifiedBy>
  <dcterms:created xsi:type="dcterms:W3CDTF">2026-10-12T09:38:33Z</dcterms:created>
  <dcterms:modified xsi:type="dcterms:W3CDTF">2026-10-12T09:38:33Z</dcterms:modified>
</cp:coreProperties>
</file>